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7e2c0f49e4c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c068ba5898bf410f"/>
    <x:sheet xmlns:r="http://schemas.openxmlformats.org/officeDocument/2006/relationships" name="Assignment Preflight" sheetId="2" r:id="R8d1b98e362b344e1"/>
    <x:sheet xmlns:r="http://schemas.openxmlformats.org/officeDocument/2006/relationships" name="Imported Labels" sheetId="3" r:id="R5526ff54109f4596"/>
    <x:sheet xmlns:r="http://schemas.openxmlformats.org/officeDocument/2006/relationships" name="Summary" sheetId="4" r:id="Ra780b7a587ca44c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"/>
    <x:numFmt numFmtId="201" formatCode="yyyy-mm-dd hh:mm:ss"/>
    <x:numFmt numFmtId="202" formatCode="0"/>
    <x:numFmt numFmtId="203" formatCode="0.0"/>
  </x:numFmts>
  <x:fonts count="6">
    <x:font>
      <x:sz val="11"/>
      <x:name val="Carlito"/>
    </x:font>
    <x:font>
      <x:b/>
      <x:sz val="17"/>
      <x:color rgb="FFFFFFFF"/>
      <x:name val="Carlito"/>
    </x:font>
    <x:font>
      <x:b/>
      <x:sz val="11"/>
      <x:color rgb="FF17324D"/>
      <x:name val="Carlito"/>
    </x:font>
    <x:font>
      <x:b/>
      <x:sz val="11"/>
      <x:color rgb="FFFFFFFF"/>
      <x:name val="Carlito"/>
    </x:font>
    <x:font>
      <x:b/>
      <x:sz val="11"/>
      <x:color rgb="FF9F1239"/>
      <x:name val="Carlito"/>
    </x:font>
    <x:font>
      <x:sz val="11"/>
      <x:color rgb="FF64748B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8"/>
      </x:patternFill>
    </x:fill>
    <x:fill>
      <x:patternFill patternType="solid">
        <x:fgColor rgb="FF0F766E"/>
      </x:patternFill>
    </x:fill>
    <x:fill>
      <x:patternFill patternType="solid">
        <x:fgColor rgb="FFFDECEC"/>
      </x:patternFill>
    </x:fill>
    <x:fill>
      <x:patternFill patternType="solid">
        <x:fgColor rgb="FFE6F4F1"/>
      </x:patternFill>
    </x:fill>
  </x:fills>
  <x:borders count="16">
    <x:border/>
    <x:border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bottom style="thin">
        <x:color rgb="FFD7E0E8"/>
      </x:bottom>
    </x:border>
    <x:border>
      <x:left style="thin">
        <x:color rgb="FFD7E0E8"/>
      </x:left>
      <x:bottom style="thin">
        <x:color rgb="FFD7E0E8"/>
      </x:bottom>
    </x:border>
    <x:border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right style="thin">
        <x:color rgb="FFD7E0E8"/>
      </x:right>
      <x:top style="thin">
        <x:color rgb="FFD7E0E8"/>
      </x:top>
      <x:bottom style="thin">
        <x:color rgb="FFD7E0E8"/>
      </x:bottom>
    </x:border>
    <x:border>
      <x:left style="thin">
        <x:color rgb="FFD7E0E8"/>
      </x:left>
      <x:top style="thin">
        <x:color rgb="FFD7E0E8"/>
      </x:top>
      <x:bottom style="thin">
        <x:color rgb="FFD7E0E8"/>
      </x:bottom>
    </x:border>
    <x:border>
      <x:right style="thin">
        <x:color rgb="FFD7E0E8"/>
      </x:right>
      <x:top style="thin">
        <x:color rgb="FFD7E0E8"/>
      </x:top>
    </x:border>
    <x:border>
      <x:left style="thin">
        <x:color rgb="FFD7E0E8"/>
      </x:left>
      <x:right style="thin">
        <x:color rgb="FFD7E0E8"/>
      </x:right>
      <x:top style="thin">
        <x:color rgb="FFD7E0E8"/>
      </x:top>
    </x:border>
    <x:border>
      <x:left style="thin">
        <x:color rgb="FFD7E0E8"/>
      </x:left>
      <x:top style="thin">
        <x:color rgb="FFD7E0E8"/>
      </x:top>
    </x:border>
    <x:border>
      <x:right style="thin">
        <x:color rgb="FF32506B"/>
      </x:right>
    </x:border>
    <x:border>
      <x:left style="thin">
        <x:color rgb="FF32506B"/>
      </x:left>
      <x:right style="thin">
        <x:color rgb="FF32506B"/>
      </x:right>
    </x:border>
    <x:border>
      <x:left style="thin">
        <x:color rgb="FF32506B"/>
      </x:left>
    </x:border>
    <x:border>
      <x:bottom style="thin">
        <x:color rgb="FFD7E0E8"/>
      </x:bottom>
    </x:border>
    <x:border>
      <x:top style="thin">
        <x:color rgb="FFD7E0E8"/>
      </x:top>
      <x:bottom style="thin">
        <x:color rgb="FFD7E0E8"/>
      </x:bottom>
    </x:border>
    <x:border>
      <x:top style="thin">
        <x:color rgb="FFD7E0E8"/>
      </x:top>
    </x:border>
  </x:borders>
  <x:cellStyleXfs count="1">
    <x:xf numFmtId="0" fontId="0" fillId="0" borderId="0"/>
  </x:cellStyleXfs>
  <x:cellXfs count="8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2" fillId="3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4" fillId="5" borderId="4" xfId="0" applyNumberFormat="1" applyFont="1" applyFill="1" applyBorder="1"/>
    <x:xf numFmtId="0" fontId="4" fillId="5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2" borderId="0" xfId="0" applyNumberFormat="1" applyFont="1" applyFill="1" applyBorder="1"/>
    <x:xf numFmtId="0" fontId="3" fillId="2" borderId="10" xfId="0" applyNumberFormat="1" applyFont="1" applyFill="1" applyBorder="1"/>
    <x:xf numFmtId="0" fontId="3" fillId="2" borderId="11" xfId="0" applyNumberFormat="1" applyFont="1" applyFill="1" applyBorder="1"/>
    <x:xf numFmtId="0" fontId="3" fillId="2" borderId="12" xfId="0" applyNumberFormat="1" applyFont="1" applyFill="1" applyBorder="1"/>
    <x:xf numFmtId="0" fontId="3" fillId="2" borderId="10" xfId="0" applyNumberFormat="1" applyFont="1" applyFill="1" applyBorder="1" applyAlignment="1">
      <x:alignment wrapText="1"/>
    </x:xf>
    <x:xf numFmtId="0" fontId="3" fillId="2" borderId="11" xfId="0" applyNumberFormat="1" applyFont="1" applyFill="1" applyBorder="1" applyAlignment="1">
      <x:alignment wrapText="1"/>
    </x:xf>
    <x:xf numFmtId="0" fontId="3" fillId="2" borderId="12" xfId="0" applyNumberFormat="1" applyFont="1" applyFill="1" applyBorder="1" applyAlignment="1">
      <x:alignment wrapText="1"/>
    </x:xf>
    <x:xf numFmtId="0" fontId="3" fillId="2" borderId="10" xfId="0" applyNumberFormat="1" applyFont="1" applyFill="1" applyBorder="1" applyAlignment="1">
      <x:alignment horizontal="center" wrapText="1"/>
    </x:xf>
    <x:xf numFmtId="0" fontId="3" fillId="2" borderId="11" xfId="0" applyNumberFormat="1" applyFont="1" applyFill="1" applyBorder="1" applyAlignment="1">
      <x:alignment horizontal="center" wrapText="1"/>
    </x:xf>
    <x:xf numFmtId="0" fontId="3" fillId="2" borderId="12" xfId="0" applyNumberFormat="1" applyFont="1" applyFill="1" applyBorder="1" applyAlignment="1">
      <x:alignment horizontal="center" wrapText="1"/>
    </x:xf>
    <x:xf numFmtId="0" fontId="3" fillId="2" borderId="10" xfId="0" applyNumberFormat="1" applyFont="1" applyFill="1" applyBorder="1" applyAlignment="1">
      <x:alignment horizontal="center" vertical="center" wrapText="1"/>
    </x:xf>
    <x:xf numFmtId="0" fontId="3" fillId="2" borderId="11" xfId="0" applyNumberFormat="1" applyFont="1" applyFill="1" applyBorder="1" applyAlignment="1">
      <x:alignment horizontal="center" vertical="center" wrapText="1"/>
    </x:xf>
    <x:xf numFmtId="0" fontId="3" fillId="2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3" borderId="13" xfId="0" applyNumberFormat="1" applyFont="1" applyFill="1" applyBorder="1"/>
    <x:xf numFmtId="0" fontId="0" fillId="3" borderId="14" xfId="0" applyNumberFormat="1" applyFont="1" applyFill="1" applyBorder="1"/>
    <x:xf numFmtId="0" fontId="0" fillId="3" borderId="15" xfId="0" applyNumberFormat="1" applyFont="1" applyFill="1" applyBorder="1"/>
    <x:xf numFmtId="200" fontId="0" fillId="0" borderId="13" xfId="0" applyNumberFormat="1" applyFont="1" applyFill="1" applyBorder="1"/>
    <x:xf numFmtId="200" fontId="0" fillId="0" borderId="14" xfId="0" applyNumberFormat="1" applyFont="1" applyFill="1" applyBorder="1"/>
    <x:xf numFmtId="200" fontId="0" fillId="0" borderId="15" xfId="0" applyNumberFormat="1" applyFont="1" applyFill="1" applyBorder="1"/>
    <x:xf numFmtId="201" fontId="0" fillId="0" borderId="13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3" fillId="4" borderId="10" xfId="0" applyNumberFormat="1" applyFont="1" applyFill="1" applyBorder="1"/>
    <x:xf numFmtId="0" fontId="3" fillId="4" borderId="11" xfId="0" applyNumberFormat="1" applyFont="1" applyFill="1" applyBorder="1"/>
    <x:xf numFmtId="0" fontId="3" fillId="4" borderId="12" xfId="0" applyNumberFormat="1" applyFont="1" applyFill="1" applyBorder="1"/>
    <x:xf numFmtId="0" fontId="3" fillId="4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3" fillId="4" borderId="10" xfId="0" applyNumberFormat="1" applyFont="1" applyFill="1" applyBorder="1" applyAlignment="1">
      <x:alignment horizontal="center" wrapText="1"/>
    </x:xf>
    <x:xf numFmtId="0" fontId="3" fillId="4" borderId="11" xfId="0" applyNumberFormat="1" applyFont="1" applyFill="1" applyBorder="1" applyAlignment="1">
      <x:alignment horizontal="center" wrapText="1"/>
    </x:xf>
    <x:xf numFmtId="0" fontId="3" fillId="4" borderId="12" xfId="0" applyNumberFormat="1" applyFont="1" applyFill="1" applyBorder="1" applyAlignment="1">
      <x:alignment horizont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6" borderId="2" xfId="0" applyNumberFormat="1" applyFont="1" applyFill="1" applyBorder="1"/>
    <x:xf numFmtId="0" fontId="0" fillId="6" borderId="3" xfId="0" applyNumberFormat="1" applyFont="1" applyFill="1" applyBorder="1"/>
    <x:xf numFmtId="0" fontId="0" fillId="6" borderId="7" xfId="0" applyNumberFormat="1" applyFont="1" applyFill="1" applyBorder="1"/>
    <x:xf numFmtId="0" fontId="0" fillId="6" borderId="8" xfId="0" applyNumberFormat="1" applyFont="1" applyFill="1" applyBorder="1"/>
    <x:xf numFmtId="0" fontId="0" fillId="6" borderId="9" xfId="0" applyNumberFormat="1" applyFont="1" applyFill="1" applyBorder="1"/>
    <x:xf numFmtId="202" fontId="0" fillId="6" borderId="2" xfId="0" applyNumberFormat="1" applyFont="1" applyFill="1" applyBorder="1"/>
    <x:xf numFmtId="202" fontId="0" fillId="6" borderId="8" xfId="0" applyNumberFormat="1" applyFont="1" applyFill="1" applyBorder="1"/>
    <x:xf numFmtId="203" fontId="0" fillId="6" borderId="2" xfId="0" applyNumberFormat="1" applyFont="1" applyFill="1" applyBorder="1"/>
    <x:xf numFmtId="203" fontId="0" fillId="6" borderId="3" xfId="0" applyNumberFormat="1" applyFont="1" applyFill="1" applyBorder="1"/>
    <x:xf numFmtId="203" fontId="0" fillId="6" borderId="8" xfId="0" applyNumberFormat="1" applyFont="1" applyFill="1" applyBorder="1"/>
    <x:xf numFmtId="203" fontId="0" fillId="6" borderId="9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1"/>
    </x:xf>
    <x:xf numFmtId="0" fontId="5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7f5e00e1ecf4498" /><Relationship Type="http://schemas.openxmlformats.org/officeDocument/2006/relationships/theme" Target="/xl/theme/theme1.xml" Id="R9e8e5fb2a37b4380" /><Relationship Type="http://schemas.openxmlformats.org/officeDocument/2006/relationships/sharedStrings" Target="/xl/sharedStrings.xml" Id="Rd317a2dd4cc94f08" /><Relationship Type="http://schemas.openxmlformats.org/officeDocument/2006/relationships/worksheet" Target="/xl/worksheets/sheet1.xml" Id="Rc068ba5898bf410f" /><Relationship Type="http://schemas.openxmlformats.org/officeDocument/2006/relationships/worksheet" Target="/xl/worksheets/sheet2.xml" Id="R8d1b98e362b344e1" /><Relationship Type="http://schemas.openxmlformats.org/officeDocument/2006/relationships/worksheet" Target="/xl/worksheets/sheet3.xml" Id="R5526ff54109f4596" /><Relationship Type="http://schemas.openxmlformats.org/officeDocument/2006/relationships/worksheet" Target="/xl/worksheets/sheet4.xml" Id="Ra780b7a587ca44cc" /></Relationships>
</file>

<file path=xl/tables/table1.xml><?xml version="1.0" encoding="utf-8"?>
<x:table xmlns:x="http://schemas.openxmlformats.org/spreadsheetml/2006/main" id="1" name="AssignmentPreflightTable" displayName="AssignmentPreflightTable" ref="A1:I201" headerRowCount="1" totalsRowCount="0" totalsRowShown="0">
  <x:tableColumns count="9">
    <x:tableColumn id="1" name="AssignmentId"/>
    <x:tableColumn id="2" name="RaterPseudonym"/>
    <x:tableColumn id="3" name="OpaqueCaseId"/>
    <x:tableColumn id="4" name="BlindedArmId"/>
    <x:tableColumn id="5" name="AssignmentIndex"/>
    <x:tableColumn id="6" name="PacketSha256"/>
    <x:tableColumn id="7" name="PreflightStatus"/>
    <x:tableColumn id="8" name="PreflightReason"/>
    <x:tableColumn id="9" name="WorkbookSha256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ImportedLabelsTable" displayName="ImportedLabelsTable" ref="A1:S501" headerRowCount="1" totalsRowCount="0" totalsRowShown="0">
  <x:tableColumns count="19">
    <x:tableColumn id="1" name="ProtocolVersion"/>
    <x:tableColumn id="2" name="ExperimentId"/>
    <x:tableColumn id="3" name="SealedHoldoutReceiptSha256"/>
    <x:tableColumn id="4" name="RaterPseudonym"/>
    <x:tableColumn id="5" name="OpaqueCaseId"/>
    <x:tableColumn id="6" name="BlindedArmId"/>
    <x:tableColumn id="7" name="AssignmentIndex"/>
    <x:tableColumn id="8" name="RequirementAccuracy"/>
    <x:tableColumn id="9" name="RequirementEvidenceNote"/>
    <x:tableColumn id="10" name="ProofPlanUsefulness"/>
    <x:tableColumn id="11" name="ProofPlanEvidenceNote"/>
    <x:tableColumn id="12" name="WarningAccuracy"/>
    <x:tableColumn id="13" name="WarningEvidenceNote"/>
    <x:tableColumn id="14" name="ReviewDecisionTimeSeconds"/>
    <x:tableColumn id="15" name="NotScorableReason"/>
    <x:tableColumn id="16" name="StartedAt"/>
    <x:tableColumn id="17" name="SubmittedAt"/>
    <x:tableColumn id="18" name="TimingIntegrity"/>
    <x:tableColumn id="19" name="SubmissionStat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90838de2c97405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1b2a2b70b5b4be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72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</x:cols>
  <x:sheetData>
    <x:row r="1">
      <x:c r="A1" s="4" t="str">
        <x:v>AgentProof Controlled Human A/B — Coordinator Workbook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/>
    <x:row r="4" ht="15" hidden="0" customHeight="1">
      <x:c r="A4" s="14" t="str">
        <x:v>Distribution</x:v>
      </x:c>
      <x:c r="B4" s="15" t="str">
        <x:v>Coordinator-only. Never send this workbook to raters.</x:v>
      </x:c>
      <x:c r="C4" s="16"/>
      <x:c r="D4" s="16"/>
      <x:c r="E4" s="16"/>
      <x:c r="F4" s="17"/>
    </x:row>
    <x:row r="5" ht="15" hidden="0" customHeight="1">
      <x:c r="A5" s="18" t="str">
        <x:v>Assignment gate</x:v>
      </x:c>
      <x:c r="B5" s="19" t="str">
        <x:v>Global preflight must pass before one isolated workbook is prepared per rater.</x:v>
      </x:c>
      <x:c r="C5" s="20"/>
      <x:c r="D5" s="20"/>
      <x:c r="E5" s="20"/>
      <x:c r="F5" s="21"/>
    </x:row>
    <x:row r="6" ht="26.399999618530273" hidden="0" customHeight="1">
      <x:c r="A6" s="18" t="str">
        <x:v>Same-case rule</x:v>
      </x:c>
      <x:c r="B6" s="19" t="str">
        <x:v>A reviewer/case canonical key may appear exactly once; duplicate same-arm and A/B exposure both fail.</x:v>
      </x:c>
      <x:c r="C6" s="20"/>
      <x:c r="D6" s="20"/>
      <x:c r="E6" s="20"/>
      <x:c r="F6" s="21"/>
    </x:row>
    <x:row r="7" ht="26.399999618530273" hidden="0" customHeight="1">
      <x:c r="A7" s="18" t="str">
        <x:v>Import gate</x:v>
      </x:c>
      <x:c r="B7" s="19" t="str">
        <x:v>Import scalar label values only. Reject formulas, external links, DDE, macros, and unexpected sheets.</x:v>
      </x:c>
      <x:c r="C7" s="20"/>
      <x:c r="D7" s="20"/>
      <x:c r="E7" s="20"/>
      <x:c r="F7" s="21"/>
    </x:row>
    <x:row r="8" ht="15" hidden="0" customHeight="1">
      <x:c r="A8" s="18" t="str">
        <x:v>Eligible Summary</x:v>
      </x:c>
      <x:c r="B8" s="19" t="str">
        <x:v>Only ScorableComplete rows enter counts, medians, and p75.</x:v>
      </x:c>
      <x:c r="C8" s="20"/>
      <x:c r="D8" s="20"/>
      <x:c r="E8" s="20"/>
      <x:c r="F8" s="21"/>
    </x:row>
    <x:row r="9" ht="15" hidden="0" customHeight="1">
      <x:c r="A9" s="18" t="str">
        <x:v>Excluded</x:v>
      </x:c>
      <x:c r="B9" s="19" t="str">
        <x:v>Pending, Partial, and NotScorable rows are excluded from every Summary metric.</x:v>
      </x:c>
      <x:c r="C9" s="20"/>
      <x:c r="D9" s="20"/>
      <x:c r="E9" s="20"/>
      <x:c r="F9" s="21"/>
    </x:row>
    <x:row r="10" ht="15" hidden="0" customHeight="1">
      <x:c r="A10" s="18" t="str">
        <x:v>Arm key</x:v>
      </x:c>
      <x:c r="B10" s="19" t="str">
        <x:v>Do not add or reveal deterministic/LLM arm mapping until labels are frozen.</x:v>
      </x:c>
      <x:c r="C10" s="20"/>
      <x:c r="D10" s="20"/>
      <x:c r="E10" s="20"/>
      <x:c r="F10" s="21"/>
    </x:row>
    <x:row r="11" ht="26.399999618530273" hidden="0" customHeight="1">
      <x:c r="A11" s="18" t="str">
        <x:v>Manifest</x:v>
      </x:c>
      <x:c r="B11" s="19" t="str">
        <x:v>Resolved snapshot, source, protocol, assignment, and workbook hashes remain outside rater files.</x:v>
      </x:c>
      <x:c r="C11" s="20"/>
      <x:c r="D11" s="20"/>
      <x:c r="E11" s="20"/>
      <x:c r="F11" s="21"/>
    </x:row>
    <x:row r="12" ht="15" hidden="0" customHeight="1">
      <x:c r="A12" s="22"/>
      <x:c r="B12" s="20"/>
      <x:c r="C12" s="20"/>
      <x:c r="D12" s="20"/>
      <x:c r="E12" s="20"/>
      <x:c r="F12" s="21"/>
    </x:row>
    <x:row r="13" ht="15" hidden="0" customHeight="1">
      <x:c r="A13" s="23" t="str">
        <x:v>Pre-freeze blockers must remain visible</x:v>
      </x:c>
      <x:c r="B13" s="24"/>
      <x:c r="C13" s="24"/>
      <x:c r="D13" s="24"/>
      <x:c r="E13" s="24"/>
      <x:c r="F13" s="25"/>
    </x:row>
    <x:row r="14" ht="15" hidden="0" customHeight="1">
      <x:c r="A14" s="22"/>
      <x:c r="B14" s="20"/>
      <x:c r="C14" s="20"/>
      <x:c r="D14" s="20"/>
      <x:c r="E14" s="20"/>
      <x:c r="F14" s="21"/>
    </x:row>
    <x:row r="15" ht="15" hidden="0" customHeight="1">
      <x:c r="A15" s="26" t="str">
        <x:v>Source tree clean</x:v>
      </x:c>
      <x:c r="B15" s="20" t="str">
        <x:v>Required</x:v>
      </x:c>
      <x:c r="C15" s="20"/>
      <x:c r="D15" s="20"/>
      <x:c r="E15" s="20"/>
      <x:c r="F15" s="21"/>
    </x:row>
    <x:row r="16" ht="15" hidden="0" customHeight="1">
      <x:c r="A16" s="26" t="str">
        <x:v>Single resolved model snapshot</x:v>
      </x:c>
      <x:c r="B16" s="20" t="str">
        <x:v>Required after smoke/run</x:v>
      </x:c>
      <x:c r="C16" s="20"/>
      <x:c r="D16" s="20"/>
      <x:c r="E16" s="20"/>
      <x:c r="F16" s="21"/>
    </x:row>
    <x:row r="17" ht="15" hidden="0" customHeight="1">
      <x:c r="A17" s="26" t="str">
        <x:v>Assignment preflight passed</x:v>
      </x:c>
      <x:c r="B17" s="20" t="str">
        <x:v>Required</x:v>
      </x:c>
      <x:c r="C17" s="20"/>
      <x:c r="D17" s="20"/>
      <x:c r="E17" s="20"/>
      <x:c r="F17" s="21"/>
    </x:row>
    <x:row r="18" ht="15" hidden="0" customHeight="1">
      <x:c r="A18" s="26" t="str">
        <x:v>Per-rater workbook hashes</x:v>
      </x:c>
      <x:c r="B18" s="20" t="str">
        <x:v>Required after actual assignment export</x:v>
      </x:c>
      <x:c r="C18" s="20"/>
      <x:c r="D18" s="20"/>
      <x:c r="E18" s="20"/>
      <x:c r="F18" s="21"/>
    </x:row>
    <x:row r="19" ht="15" hidden="0" customHeight="1">
      <x:c r="A19" s="26" t="str">
        <x:v>Coordinator workbook hash</x:v>
      </x:c>
      <x:c r="B19" s="20" t="str">
        <x:v>Prepared by this task</x:v>
      </x:c>
      <x:c r="C19" s="20"/>
      <x:c r="D19" s="20"/>
      <x:c r="E19" s="20"/>
      <x:c r="F19" s="21"/>
    </x:row>
    <x:row r="20" ht="15" hidden="0" customHeight="1">
      <x:c r="A20" s="27" t="str">
        <x:v>Sealed holdout receipt</x:v>
      </x:c>
      <x:c r="B20" s="28" t="str">
        <x:v>Required before controlled A/B</x:v>
      </x:c>
      <x:c r="C20" s="28"/>
      <x:c r="D20" s="28"/>
      <x:c r="E20" s="28"/>
      <x:c r="F20" s="29"/>
    </x:row>
  </x:sheetData>
  <x:mergeCells>
    <x:mergeCell ref="A1:F2"/>
    <x:mergeCell ref="A13:F1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38" hidden="0" customWidth="1"/>
    <x:col min="7" max="7" width="18" hidden="0" customWidth="1"/>
    <x:col min="8" max="8" width="42" hidden="0" customWidth="1"/>
    <x:col min="9" max="9" width="38" hidden="0" customWidth="1"/>
  </x:cols>
  <x:sheetData>
    <x:row r="1" ht="42" customHeight="1">
      <x:c r="A1" s="40" t="str">
        <x:v>AssignmentId</x:v>
      </x:c>
      <x:c r="B1" s="41" t="str">
        <x:v>RaterPseudonym</x:v>
      </x:c>
      <x:c r="C1" s="41" t="str">
        <x:v>OpaqueCaseId</x:v>
      </x:c>
      <x:c r="D1" s="41" t="str">
        <x:v>BlindedArmId</x:v>
      </x:c>
      <x:c r="E1" s="41" t="str">
        <x:v>AssignmentIndex</x:v>
      </x:c>
      <x:c r="F1" s="41" t="str">
        <x:v>PacketSha256</x:v>
      </x:c>
      <x:c r="G1" s="41" t="str">
        <x:v>PreflightStatus</x:v>
      </x:c>
      <x:c r="H1" s="41" t="str">
        <x:v>PreflightReason</x:v>
      </x:c>
      <x:c r="I1" s="42" t="str">
        <x:v>WorkbookSha256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</x:row>
    <x:row r="201">
      <x:c r="A201" s="45"/>
      <x:c r="B201" s="45"/>
      <x:c r="C201" s="45"/>
      <x:c r="D201" s="45"/>
      <x:c r="E201" s="45"/>
      <x:c r="F201" s="45"/>
      <x:c r="G201" s="45"/>
      <x:c r="H201" s="45"/>
      <x:c r="I201" s="45"/>
    </x:row>
  </x:sheetData>
  <x:dataValidations count="2">
    <x:dataValidation type="list" sqref="D2:D201">
      <x:formula1>"A,B"</x:formula1>
    </x:dataValidation>
    <x:dataValidation type="list" sqref="G2:G201">
      <x:formula1>"passed,blocked"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90838de2c974055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3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2" hidden="0" customWidth="1"/>
    <x:col min="10" max="10" width="20" hidden="0" customWidth="1"/>
    <x:col min="11" max="11" width="42" hidden="0" customWidth="1"/>
    <x:col min="12" max="12" width="18" hidden="0" customWidth="1"/>
    <x:col min="13" max="13" width="42" hidden="0" customWidth="1"/>
    <x:col min="14" max="14" width="25" hidden="0" customWidth="1"/>
    <x:col min="15" max="15" width="25" hidden="0" customWidth="1"/>
    <x:col min="16" max="16" width="22" hidden="0" customWidth="1"/>
    <x:col min="17" max="17" width="22" hidden="0" customWidth="1"/>
    <x:col min="18" max="18" width="30" hidden="0" customWidth="1"/>
    <x:col min="19" max="19" width="22" hidden="0" customWidth="1"/>
  </x:cols>
  <x:sheetData>
    <x:row r="1" ht="42" customHeight="1">
      <x:c r="A1" s="40" t="str">
        <x:v>ProtocolVersion</x:v>
      </x:c>
      <x:c r="B1" s="41" t="str">
        <x:v>ExperimentId</x:v>
      </x:c>
      <x:c r="C1" s="41" t="str">
        <x:v>SealedHoldoutReceiptSha256</x:v>
      </x:c>
      <x:c r="D1" s="41" t="str">
        <x:v>RaterPseudonym</x:v>
      </x:c>
      <x:c r="E1" s="41" t="str">
        <x:v>OpaqueCaseId</x:v>
      </x:c>
      <x:c r="F1" s="41" t="str">
        <x:v>BlindedArmId</x:v>
      </x:c>
      <x:c r="G1" s="41" t="str">
        <x:v>AssignmentIndex</x:v>
      </x:c>
      <x:c r="H1" s="41" t="str">
        <x:v>RequirementAccuracy</x:v>
      </x:c>
      <x:c r="I1" s="41" t="str">
        <x:v>RequirementEvidenceNote</x:v>
      </x:c>
      <x:c r="J1" s="41" t="str">
        <x:v>ProofPlanUsefulness</x:v>
      </x:c>
      <x:c r="K1" s="41" t="str">
        <x:v>ProofPlanEvidenceNote</x:v>
      </x:c>
      <x:c r="L1" s="41" t="str">
        <x:v>WarningAccuracy</x:v>
      </x:c>
      <x:c r="M1" s="41" t="str">
        <x:v>WarningEvidenceNote</x:v>
      </x:c>
      <x:c r="N1" s="41" t="str">
        <x:v>ReviewDecisionTimeSeconds</x:v>
      </x:c>
      <x:c r="O1" s="41" t="str">
        <x:v>NotScorableReason</x:v>
      </x:c>
      <x:c r="P1" s="41" t="str">
        <x:v>StartedAt</x:v>
      </x:c>
      <x:c r="Q1" s="41" t="str">
        <x:v>SubmittedAt</x:v>
      </x:c>
      <x:c r="R1" s="41" t="str">
        <x:v>TimingIntegrity</x:v>
      </x:c>
      <x:c r="S1" s="42" t="str">
        <x:v>SubmissionState</x:v>
      </x:c>
    </x:row>
    <x:row r="2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9"/>
      <x:c r="O2" s="43"/>
      <x:c r="P2" s="52"/>
      <x:c r="Q2" s="52"/>
      <x:c r="R2" s="43"/>
      <x:c r="S2" s="46" t="str">
        <x:f>IF(COUNTA($H2:$R2)=0,"Pending",IF(AND($A2&lt;&gt;"",$B2&lt;&gt;"",$C2&lt;&gt;"",$D2&lt;&gt;"",$E2&lt;&gt;"",$F2&lt;&gt;"",ISNUMBER($G2),$G2&gt;=1,ISNUMBER($H2),MOD($H2,1)=0,$H2&gt;=1,$H2&lt;=5,ISNUMBER($J2),MOD($J2,1)=0,$J2&gt;=1,$J2&lt;=5,ISNUMBER($L2),MOD($L2,1)=0,$L2&gt;=1,$L2&lt;=5,ISNUMBER($N2),$N2&gt;=0,$O2="",$P2&lt;&gt;"",$Q2&lt;&gt;"",$R2="runner_monotonic_complete"),"ScorableComplete",IF(AND($A2&lt;&gt;"",$B2&lt;&gt;"",$C2&lt;&gt;"",$D2&lt;&gt;"",$E2&lt;&gt;"",$F2&lt;&gt;"",ISNUMBER($G2),$G2&gt;=1,OR($O2="insufficient_source_evidence",$O2="operational_failure"),$H2="",$J2="",$L2="",$N2="",$Q2&lt;&gt;"",$R2="runner_monotonic_not_scorable"),"NotScorable","Partial")))</x:f>
        <x:v>Pending</x:v>
      </x:c>
    </x:row>
    <x:row r="3">
      <x:c r="A3" s="44"/>
      <x:c r="B3" s="44"/>
      <x:c r="C3" s="44"/>
      <x:c r="D3" s="44"/>
      <x:c r="E3" s="44"/>
      <x:c r="F3" s="44"/>
      <x:c r="G3" s="44"/>
      <x:c r="H3" s="44"/>
      <x:c r="I3" s="44"/>
      <x:c r="J3" s="44"/>
      <x:c r="K3" s="44"/>
      <x:c r="L3" s="44"/>
      <x:c r="M3" s="44"/>
      <x:c r="N3" s="50"/>
      <x:c r="O3" s="44"/>
      <x:c r="P3" s="53"/>
      <x:c r="Q3" s="53"/>
      <x:c r="R3" s="44"/>
      <x:c r="S3" s="47" t="str">
        <x:f>IF(COUNTA($H3:$R3)=0,"Pending",IF(AND($A3&lt;&gt;"",$B3&lt;&gt;"",$C3&lt;&gt;"",$D3&lt;&gt;"",$E3&lt;&gt;"",$F3&lt;&gt;"",ISNUMBER($G3),$G3&gt;=1,ISNUMBER($H3),MOD($H3,1)=0,$H3&gt;=1,$H3&lt;=5,ISNUMBER($J3),MOD($J3,1)=0,$J3&gt;=1,$J3&lt;=5,ISNUMBER($L3),MOD($L3,1)=0,$L3&gt;=1,$L3&lt;=5,ISNUMBER($N3),$N3&gt;=0,$O3="",$P3&lt;&gt;"",$Q3&lt;&gt;"",$R3="runner_monotonic_complete"),"ScorableComplete",IF(AND($A3&lt;&gt;"",$B3&lt;&gt;"",$C3&lt;&gt;"",$D3&lt;&gt;"",$E3&lt;&gt;"",$F3&lt;&gt;"",ISNUMBER($G3),$G3&gt;=1,OR($O3="insufficient_source_evidence",$O3="operational_failure"),$H3="",$J3="",$L3="",$N3="",$Q3&lt;&gt;"",$R3="runner_monotonic_not_scorable"),"NotScorable","Partial")))</x:f>
        <x:v>Pending</x:v>
      </x:c>
    </x:row>
    <x:row r="4">
      <x:c r="A4" s="44"/>
      <x:c r="B4" s="44"/>
      <x:c r="C4" s="44"/>
      <x:c r="D4" s="44"/>
      <x:c r="E4" s="44"/>
      <x:c r="F4" s="44"/>
      <x:c r="G4" s="44"/>
      <x:c r="H4" s="44"/>
      <x:c r="I4" s="44"/>
      <x:c r="J4" s="44"/>
      <x:c r="K4" s="44"/>
      <x:c r="L4" s="44"/>
      <x:c r="M4" s="44"/>
      <x:c r="N4" s="50"/>
      <x:c r="O4" s="44"/>
      <x:c r="P4" s="53"/>
      <x:c r="Q4" s="53"/>
      <x:c r="R4" s="44"/>
      <x:c r="S4" s="47" t="str">
        <x:f>IF(COUNTA($H4:$R4)=0,"Pending",IF(AND($A4&lt;&gt;"",$B4&lt;&gt;"",$C4&lt;&gt;"",$D4&lt;&gt;"",$E4&lt;&gt;"",$F4&lt;&gt;"",ISNUMBER($G4),$G4&gt;=1,ISNUMBER($H4),MOD($H4,1)=0,$H4&gt;=1,$H4&lt;=5,ISNUMBER($J4),MOD($J4,1)=0,$J4&gt;=1,$J4&lt;=5,ISNUMBER($L4),MOD($L4,1)=0,$L4&gt;=1,$L4&lt;=5,ISNUMBER($N4),$N4&gt;=0,$O4="",$P4&lt;&gt;"",$Q4&lt;&gt;"",$R4="runner_monotonic_complete"),"ScorableComplete",IF(AND($A4&lt;&gt;"",$B4&lt;&gt;"",$C4&lt;&gt;"",$D4&lt;&gt;"",$E4&lt;&gt;"",$F4&lt;&gt;"",ISNUMBER($G4),$G4&gt;=1,OR($O4="insufficient_source_evidence",$O4="operational_failure"),$H4="",$J4="",$L4="",$N4="",$Q4&lt;&gt;"",$R4="runner_monotonic_not_scorable"),"NotScorable","Partial")))</x:f>
        <x:v>Pending</x:v>
      </x:c>
    </x:row>
    <x:row r="5">
      <x:c r="A5" s="44"/>
      <x:c r="B5" s="44"/>
      <x:c r="C5" s="44"/>
      <x:c r="D5" s="44"/>
      <x:c r="E5" s="44"/>
      <x:c r="F5" s="44"/>
      <x:c r="G5" s="44"/>
      <x:c r="H5" s="44"/>
      <x:c r="I5" s="44"/>
      <x:c r="J5" s="44"/>
      <x:c r="K5" s="44"/>
      <x:c r="L5" s="44"/>
      <x:c r="M5" s="44"/>
      <x:c r="N5" s="50"/>
      <x:c r="O5" s="44"/>
      <x:c r="P5" s="53"/>
      <x:c r="Q5" s="53"/>
      <x:c r="R5" s="44"/>
      <x:c r="S5" s="47" t="str">
        <x:f>IF(COUNTA($H5:$R5)=0,"Pending",IF(AND($A5&lt;&gt;"",$B5&lt;&gt;"",$C5&lt;&gt;"",$D5&lt;&gt;"",$E5&lt;&gt;"",$F5&lt;&gt;"",ISNUMBER($G5),$G5&gt;=1,ISNUMBER($H5),MOD($H5,1)=0,$H5&gt;=1,$H5&lt;=5,ISNUMBER($J5),MOD($J5,1)=0,$J5&gt;=1,$J5&lt;=5,ISNUMBER($L5),MOD($L5,1)=0,$L5&gt;=1,$L5&lt;=5,ISNUMBER($N5),$N5&gt;=0,$O5="",$P5&lt;&gt;"",$Q5&lt;&gt;"",$R5="runner_monotonic_complete"),"ScorableComplete",IF(AND($A5&lt;&gt;"",$B5&lt;&gt;"",$C5&lt;&gt;"",$D5&lt;&gt;"",$E5&lt;&gt;"",$F5&lt;&gt;"",ISNUMBER($G5),$G5&gt;=1,OR($O5="insufficient_source_evidence",$O5="operational_failure"),$H5="",$J5="",$L5="",$N5="",$Q5&lt;&gt;"",$R5="runner_monotonic_not_scorable"),"NotScorable","Partial")))</x:f>
        <x:v>Pending</x:v>
      </x:c>
    </x:row>
    <x:row r="6">
      <x:c r="A6" s="44"/>
      <x:c r="B6" s="44"/>
      <x:c r="C6" s="44"/>
      <x:c r="D6" s="44"/>
      <x:c r="E6" s="44"/>
      <x:c r="F6" s="44"/>
      <x:c r="G6" s="44"/>
      <x:c r="H6" s="44"/>
      <x:c r="I6" s="44"/>
      <x:c r="J6" s="44"/>
      <x:c r="K6" s="44"/>
      <x:c r="L6" s="44"/>
      <x:c r="M6" s="44"/>
      <x:c r="N6" s="50"/>
      <x:c r="O6" s="44"/>
      <x:c r="P6" s="53"/>
      <x:c r="Q6" s="53"/>
      <x:c r="R6" s="44"/>
      <x:c r="S6" s="47" t="str">
        <x:f>IF(COUNTA($H6:$R6)=0,"Pending",IF(AND($A6&lt;&gt;"",$B6&lt;&gt;"",$C6&lt;&gt;"",$D6&lt;&gt;"",$E6&lt;&gt;"",$F6&lt;&gt;"",ISNUMBER($G6),$G6&gt;=1,ISNUMBER($H6),MOD($H6,1)=0,$H6&gt;=1,$H6&lt;=5,ISNUMBER($J6),MOD($J6,1)=0,$J6&gt;=1,$J6&lt;=5,ISNUMBER($L6),MOD($L6,1)=0,$L6&gt;=1,$L6&lt;=5,ISNUMBER($N6),$N6&gt;=0,$O6="",$P6&lt;&gt;"",$Q6&lt;&gt;"",$R6="runner_monotonic_complete"),"ScorableComplete",IF(AND($A6&lt;&gt;"",$B6&lt;&gt;"",$C6&lt;&gt;"",$D6&lt;&gt;"",$E6&lt;&gt;"",$F6&lt;&gt;"",ISNUMBER($G6),$G6&gt;=1,OR($O6="insufficient_source_evidence",$O6="operational_failure"),$H6="",$J6="",$L6="",$N6="",$Q6&lt;&gt;"",$R6="runner_monotonic_not_scorable"),"NotScorable","Partial")))</x:f>
        <x:v>Pending</x:v>
      </x:c>
    </x:row>
    <x:row r="7">
      <x:c r="A7" s="44"/>
      <x:c r="B7" s="44"/>
      <x:c r="C7" s="44"/>
      <x:c r="D7" s="44"/>
      <x:c r="E7" s="44"/>
      <x:c r="F7" s="44"/>
      <x:c r="G7" s="44"/>
      <x:c r="H7" s="44"/>
      <x:c r="I7" s="44"/>
      <x:c r="J7" s="44"/>
      <x:c r="K7" s="44"/>
      <x:c r="L7" s="44"/>
      <x:c r="M7" s="44"/>
      <x:c r="N7" s="50"/>
      <x:c r="O7" s="44"/>
      <x:c r="P7" s="53"/>
      <x:c r="Q7" s="53"/>
      <x:c r="R7" s="44"/>
      <x:c r="S7" s="47" t="str">
        <x:f>IF(COUNTA($H7:$R7)=0,"Pending",IF(AND($A7&lt;&gt;"",$B7&lt;&gt;"",$C7&lt;&gt;"",$D7&lt;&gt;"",$E7&lt;&gt;"",$F7&lt;&gt;"",ISNUMBER($G7),$G7&gt;=1,ISNUMBER($H7),MOD($H7,1)=0,$H7&gt;=1,$H7&lt;=5,ISNUMBER($J7),MOD($J7,1)=0,$J7&gt;=1,$J7&lt;=5,ISNUMBER($L7),MOD($L7,1)=0,$L7&gt;=1,$L7&lt;=5,ISNUMBER($N7),$N7&gt;=0,$O7="",$P7&lt;&gt;"",$Q7&lt;&gt;"",$R7="runner_monotonic_complete"),"ScorableComplete",IF(AND($A7&lt;&gt;"",$B7&lt;&gt;"",$C7&lt;&gt;"",$D7&lt;&gt;"",$E7&lt;&gt;"",$F7&lt;&gt;"",ISNUMBER($G7),$G7&gt;=1,OR($O7="insufficient_source_evidence",$O7="operational_failure"),$H7="",$J7="",$L7="",$N7="",$Q7&lt;&gt;"",$R7="runner_monotonic_not_scorable"),"NotScorable","Partial")))</x:f>
        <x:v>Pending</x:v>
      </x:c>
    </x:row>
    <x:row r="8">
      <x:c r="A8" s="44"/>
      <x:c r="B8" s="44"/>
      <x:c r="C8" s="44"/>
      <x:c r="D8" s="44"/>
      <x:c r="E8" s="44"/>
      <x:c r="F8" s="44"/>
      <x:c r="G8" s="44"/>
      <x:c r="H8" s="44"/>
      <x:c r="I8" s="44"/>
      <x:c r="J8" s="44"/>
      <x:c r="K8" s="44"/>
      <x:c r="L8" s="44"/>
      <x:c r="M8" s="44"/>
      <x:c r="N8" s="50"/>
      <x:c r="O8" s="44"/>
      <x:c r="P8" s="53"/>
      <x:c r="Q8" s="53"/>
      <x:c r="R8" s="44"/>
      <x:c r="S8" s="47" t="str">
        <x:f>IF(COUNTA($H8:$R8)=0,"Pending",IF(AND($A8&lt;&gt;"",$B8&lt;&gt;"",$C8&lt;&gt;"",$D8&lt;&gt;"",$E8&lt;&gt;"",$F8&lt;&gt;"",ISNUMBER($G8),$G8&gt;=1,ISNUMBER($H8),MOD($H8,1)=0,$H8&gt;=1,$H8&lt;=5,ISNUMBER($J8),MOD($J8,1)=0,$J8&gt;=1,$J8&lt;=5,ISNUMBER($L8),MOD($L8,1)=0,$L8&gt;=1,$L8&lt;=5,ISNUMBER($N8),$N8&gt;=0,$O8="",$P8&lt;&gt;"",$Q8&lt;&gt;"",$R8="runner_monotonic_complete"),"ScorableComplete",IF(AND($A8&lt;&gt;"",$B8&lt;&gt;"",$C8&lt;&gt;"",$D8&lt;&gt;"",$E8&lt;&gt;"",$F8&lt;&gt;"",ISNUMBER($G8),$G8&gt;=1,OR($O8="insufficient_source_evidence",$O8="operational_failure"),$H8="",$J8="",$L8="",$N8="",$Q8&lt;&gt;"",$R8="runner_monotonic_not_scorable"),"NotScorable","Partial")))</x:f>
        <x:v>Pending</x:v>
      </x:c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50"/>
      <x:c r="O9" s="44"/>
      <x:c r="P9" s="53"/>
      <x:c r="Q9" s="53"/>
      <x:c r="R9" s="44"/>
      <x:c r="S9" s="47" t="str">
        <x:f>IF(COUNTA($H9:$R9)=0,"Pending",IF(AND($A9&lt;&gt;"",$B9&lt;&gt;"",$C9&lt;&gt;"",$D9&lt;&gt;"",$E9&lt;&gt;"",$F9&lt;&gt;"",ISNUMBER($G9),$G9&gt;=1,ISNUMBER($H9),MOD($H9,1)=0,$H9&gt;=1,$H9&lt;=5,ISNUMBER($J9),MOD($J9,1)=0,$J9&gt;=1,$J9&lt;=5,ISNUMBER($L9),MOD($L9,1)=0,$L9&gt;=1,$L9&lt;=5,ISNUMBER($N9),$N9&gt;=0,$O9="",$P9&lt;&gt;"",$Q9&lt;&gt;"",$R9="runner_monotonic_complete"),"ScorableComplete",IF(AND($A9&lt;&gt;"",$B9&lt;&gt;"",$C9&lt;&gt;"",$D9&lt;&gt;"",$E9&lt;&gt;"",$F9&lt;&gt;"",ISNUMBER($G9),$G9&gt;=1,OR($O9="insufficient_source_evidence",$O9="operational_failure"),$H9="",$J9="",$L9="",$N9="",$Q9&lt;&gt;"",$R9="runner_monotonic_not_scorable"),"NotScorable","Partial")))</x:f>
        <x:v>Pending</x:v>
      </x:c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50"/>
      <x:c r="O10" s="44"/>
      <x:c r="P10" s="53"/>
      <x:c r="Q10" s="53"/>
      <x:c r="R10" s="44"/>
      <x:c r="S10" s="47" t="str">
        <x:f>IF(COUNTA($H10:$R10)=0,"Pending",IF(AND($A10&lt;&gt;"",$B10&lt;&gt;"",$C10&lt;&gt;"",$D10&lt;&gt;"",$E10&lt;&gt;"",$F10&lt;&gt;"",ISNUMBER($G10),$G10&gt;=1,ISNUMBER($H10),MOD($H10,1)=0,$H10&gt;=1,$H10&lt;=5,ISNUMBER($J10),MOD($J10,1)=0,$J10&gt;=1,$J10&lt;=5,ISNUMBER($L10),MOD($L10,1)=0,$L10&gt;=1,$L10&lt;=5,ISNUMBER($N10),$N10&gt;=0,$O10="",$P10&lt;&gt;"",$Q10&lt;&gt;"",$R10="runner_monotonic_complete"),"ScorableComplete",IF(AND($A10&lt;&gt;"",$B10&lt;&gt;"",$C10&lt;&gt;"",$D10&lt;&gt;"",$E10&lt;&gt;"",$F10&lt;&gt;"",ISNUMBER($G10),$G10&gt;=1,OR($O10="insufficient_source_evidence",$O10="operational_failure"),$H10="",$J10="",$L10="",$N10="",$Q10&lt;&gt;"",$R10="runner_monotonic_not_scorable"),"NotScorable","Partial")))</x:f>
        <x:v>Pending</x:v>
      </x:c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50"/>
      <x:c r="O11" s="44"/>
      <x:c r="P11" s="53"/>
      <x:c r="Q11" s="53"/>
      <x:c r="R11" s="44"/>
      <x:c r="S11" s="47" t="str">
        <x:f>IF(COUNTA($H11:$R11)=0,"Pending",IF(AND($A11&lt;&gt;"",$B11&lt;&gt;"",$C11&lt;&gt;"",$D11&lt;&gt;"",$E11&lt;&gt;"",$F11&lt;&gt;"",ISNUMBER($G11),$G11&gt;=1,ISNUMBER($H11),MOD($H11,1)=0,$H11&gt;=1,$H11&lt;=5,ISNUMBER($J11),MOD($J11,1)=0,$J11&gt;=1,$J11&lt;=5,ISNUMBER($L11),MOD($L11,1)=0,$L11&gt;=1,$L11&lt;=5,ISNUMBER($N11),$N11&gt;=0,$O11="",$P11&lt;&gt;"",$Q11&lt;&gt;"",$R11="runner_monotonic_complete"),"ScorableComplete",IF(AND($A11&lt;&gt;"",$B11&lt;&gt;"",$C11&lt;&gt;"",$D11&lt;&gt;"",$E11&lt;&gt;"",$F11&lt;&gt;"",ISNUMBER($G11),$G11&gt;=1,OR($O11="insufficient_source_evidence",$O11="operational_failure"),$H11="",$J11="",$L11="",$N11="",$Q11&lt;&gt;"",$R11="runner_monotonic_not_scorable"),"NotScorable","Partial")))</x:f>
        <x:v>Pending</x:v>
      </x:c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50"/>
      <x:c r="O12" s="44"/>
      <x:c r="P12" s="53"/>
      <x:c r="Q12" s="53"/>
      <x:c r="R12" s="44"/>
      <x:c r="S12" s="47" t="str">
        <x:f>IF(COUNTA($H12:$R12)=0,"Pending",IF(AND($A12&lt;&gt;"",$B12&lt;&gt;"",$C12&lt;&gt;"",$D12&lt;&gt;"",$E12&lt;&gt;"",$F12&lt;&gt;"",ISNUMBER($G12),$G12&gt;=1,ISNUMBER($H12),MOD($H12,1)=0,$H12&gt;=1,$H12&lt;=5,ISNUMBER($J12),MOD($J12,1)=0,$J12&gt;=1,$J12&lt;=5,ISNUMBER($L12),MOD($L12,1)=0,$L12&gt;=1,$L12&lt;=5,ISNUMBER($N12),$N12&gt;=0,$O12="",$P12&lt;&gt;"",$Q12&lt;&gt;"",$R12="runner_monotonic_complete"),"ScorableComplete",IF(AND($A12&lt;&gt;"",$B12&lt;&gt;"",$C12&lt;&gt;"",$D12&lt;&gt;"",$E12&lt;&gt;"",$F12&lt;&gt;"",ISNUMBER($G12),$G12&gt;=1,OR($O12="insufficient_source_evidence",$O12="operational_failure"),$H12="",$J12="",$L12="",$N12="",$Q12&lt;&gt;"",$R12="runner_monotonic_not_scorable"),"NotScorable","Partial")))</x:f>
        <x:v>Pending</x:v>
      </x:c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50"/>
      <x:c r="O13" s="44"/>
      <x:c r="P13" s="53"/>
      <x:c r="Q13" s="53"/>
      <x:c r="R13" s="44"/>
      <x:c r="S13" s="47" t="str">
        <x:f>IF(COUNTA($H13:$R13)=0,"Pending",IF(AND($A13&lt;&gt;"",$B13&lt;&gt;"",$C13&lt;&gt;"",$D13&lt;&gt;"",$E13&lt;&gt;"",$F13&lt;&gt;"",ISNUMBER($G13),$G13&gt;=1,ISNUMBER($H13),MOD($H13,1)=0,$H13&gt;=1,$H13&lt;=5,ISNUMBER($J13),MOD($J13,1)=0,$J13&gt;=1,$J13&lt;=5,ISNUMBER($L13),MOD($L13,1)=0,$L13&gt;=1,$L13&lt;=5,ISNUMBER($N13),$N13&gt;=0,$O13="",$P13&lt;&gt;"",$Q13&lt;&gt;"",$R13="runner_monotonic_complete"),"ScorableComplete",IF(AND($A13&lt;&gt;"",$B13&lt;&gt;"",$C13&lt;&gt;"",$D13&lt;&gt;"",$E13&lt;&gt;"",$F13&lt;&gt;"",ISNUMBER($G13),$G13&gt;=1,OR($O13="insufficient_source_evidence",$O13="operational_failure"),$H13="",$J13="",$L13="",$N13="",$Q13&lt;&gt;"",$R13="runner_monotonic_not_scorable"),"NotScorable","Partial")))</x:f>
        <x:v>Pending</x:v>
      </x:c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50"/>
      <x:c r="O14" s="44"/>
      <x:c r="P14" s="53"/>
      <x:c r="Q14" s="53"/>
      <x:c r="R14" s="44"/>
      <x:c r="S14" s="47" t="str">
        <x:f>IF(COUNTA($H14:$R14)=0,"Pending",IF(AND($A14&lt;&gt;"",$B14&lt;&gt;"",$C14&lt;&gt;"",$D14&lt;&gt;"",$E14&lt;&gt;"",$F14&lt;&gt;"",ISNUMBER($G14),$G14&gt;=1,ISNUMBER($H14),MOD($H14,1)=0,$H14&gt;=1,$H14&lt;=5,ISNUMBER($J14),MOD($J14,1)=0,$J14&gt;=1,$J14&lt;=5,ISNUMBER($L14),MOD($L14,1)=0,$L14&gt;=1,$L14&lt;=5,ISNUMBER($N14),$N14&gt;=0,$O14="",$P14&lt;&gt;"",$Q14&lt;&gt;"",$R14="runner_monotonic_complete"),"ScorableComplete",IF(AND($A14&lt;&gt;"",$B14&lt;&gt;"",$C14&lt;&gt;"",$D14&lt;&gt;"",$E14&lt;&gt;"",$F14&lt;&gt;"",ISNUMBER($G14),$G14&gt;=1,OR($O14="insufficient_source_evidence",$O14="operational_failure"),$H14="",$J14="",$L14="",$N14="",$Q14&lt;&gt;"",$R14="runner_monotonic_not_scorable"),"NotScorable","Partial")))</x:f>
        <x:v>Pending</x:v>
      </x:c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50"/>
      <x:c r="O15" s="44"/>
      <x:c r="P15" s="53"/>
      <x:c r="Q15" s="53"/>
      <x:c r="R15" s="44"/>
      <x:c r="S15" s="47" t="str">
        <x:f>IF(COUNTA($H15:$R15)=0,"Pending",IF(AND($A15&lt;&gt;"",$B15&lt;&gt;"",$C15&lt;&gt;"",$D15&lt;&gt;"",$E15&lt;&gt;"",$F15&lt;&gt;"",ISNUMBER($G15),$G15&gt;=1,ISNUMBER($H15),MOD($H15,1)=0,$H15&gt;=1,$H15&lt;=5,ISNUMBER($J15),MOD($J15,1)=0,$J15&gt;=1,$J15&lt;=5,ISNUMBER($L15),MOD($L15,1)=0,$L15&gt;=1,$L15&lt;=5,ISNUMBER($N15),$N15&gt;=0,$O15="",$P15&lt;&gt;"",$Q15&lt;&gt;"",$R15="runner_monotonic_complete"),"ScorableComplete",IF(AND($A15&lt;&gt;"",$B15&lt;&gt;"",$C15&lt;&gt;"",$D15&lt;&gt;"",$E15&lt;&gt;"",$F15&lt;&gt;"",ISNUMBER($G15),$G15&gt;=1,OR($O15="insufficient_source_evidence",$O15="operational_failure"),$H15="",$J15="",$L15="",$N15="",$Q15&lt;&gt;"",$R15="runner_monotonic_not_scorable"),"NotScorable","Partial")))</x:f>
        <x:v>Pending</x:v>
      </x:c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50"/>
      <x:c r="O16" s="44"/>
      <x:c r="P16" s="53"/>
      <x:c r="Q16" s="53"/>
      <x:c r="R16" s="44"/>
      <x:c r="S16" s="47" t="str">
        <x:f>IF(COUNTA($H16:$R16)=0,"Pending",IF(AND($A16&lt;&gt;"",$B16&lt;&gt;"",$C16&lt;&gt;"",$D16&lt;&gt;"",$E16&lt;&gt;"",$F16&lt;&gt;"",ISNUMBER($G16),$G16&gt;=1,ISNUMBER($H16),MOD($H16,1)=0,$H16&gt;=1,$H16&lt;=5,ISNUMBER($J16),MOD($J16,1)=0,$J16&gt;=1,$J16&lt;=5,ISNUMBER($L16),MOD($L16,1)=0,$L16&gt;=1,$L16&lt;=5,ISNUMBER($N16),$N16&gt;=0,$O16="",$P16&lt;&gt;"",$Q16&lt;&gt;"",$R16="runner_monotonic_complete"),"ScorableComplete",IF(AND($A16&lt;&gt;"",$B16&lt;&gt;"",$C16&lt;&gt;"",$D16&lt;&gt;"",$E16&lt;&gt;"",$F16&lt;&gt;"",ISNUMBER($G16),$G16&gt;=1,OR($O16="insufficient_source_evidence",$O16="operational_failure"),$H16="",$J16="",$L16="",$N16="",$Q16&lt;&gt;"",$R16="runner_monotonic_not_scorable"),"NotScorable","Partial")))</x:f>
        <x:v>Pending</x:v>
      </x:c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50"/>
      <x:c r="O17" s="44"/>
      <x:c r="P17" s="53"/>
      <x:c r="Q17" s="53"/>
      <x:c r="R17" s="44"/>
      <x:c r="S17" s="47" t="str">
        <x:f>IF(COUNTA($H17:$R17)=0,"Pending",IF(AND($A17&lt;&gt;"",$B17&lt;&gt;"",$C17&lt;&gt;"",$D17&lt;&gt;"",$E17&lt;&gt;"",$F17&lt;&gt;"",ISNUMBER($G17),$G17&gt;=1,ISNUMBER($H17),MOD($H17,1)=0,$H17&gt;=1,$H17&lt;=5,ISNUMBER($J17),MOD($J17,1)=0,$J17&gt;=1,$J17&lt;=5,ISNUMBER($L17),MOD($L17,1)=0,$L17&gt;=1,$L17&lt;=5,ISNUMBER($N17),$N17&gt;=0,$O17="",$P17&lt;&gt;"",$Q17&lt;&gt;"",$R17="runner_monotonic_complete"),"ScorableComplete",IF(AND($A17&lt;&gt;"",$B17&lt;&gt;"",$C17&lt;&gt;"",$D17&lt;&gt;"",$E17&lt;&gt;"",$F17&lt;&gt;"",ISNUMBER($G17),$G17&gt;=1,OR($O17="insufficient_source_evidence",$O17="operational_failure"),$H17="",$J17="",$L17="",$N17="",$Q17&lt;&gt;"",$R17="runner_monotonic_not_scorable"),"NotScorable","Partial")))</x:f>
        <x:v>Pending</x:v>
      </x:c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50"/>
      <x:c r="O18" s="44"/>
      <x:c r="P18" s="53"/>
      <x:c r="Q18" s="53"/>
      <x:c r="R18" s="44"/>
      <x:c r="S18" s="47" t="str">
        <x:f>IF(COUNTA($H18:$R18)=0,"Pending",IF(AND($A18&lt;&gt;"",$B18&lt;&gt;"",$C18&lt;&gt;"",$D18&lt;&gt;"",$E18&lt;&gt;"",$F18&lt;&gt;"",ISNUMBER($G18),$G18&gt;=1,ISNUMBER($H18),MOD($H18,1)=0,$H18&gt;=1,$H18&lt;=5,ISNUMBER($J18),MOD($J18,1)=0,$J18&gt;=1,$J18&lt;=5,ISNUMBER($L18),MOD($L18,1)=0,$L18&gt;=1,$L18&lt;=5,ISNUMBER($N18),$N18&gt;=0,$O18="",$P18&lt;&gt;"",$Q18&lt;&gt;"",$R18="runner_monotonic_complete"),"ScorableComplete",IF(AND($A18&lt;&gt;"",$B18&lt;&gt;"",$C18&lt;&gt;"",$D18&lt;&gt;"",$E18&lt;&gt;"",$F18&lt;&gt;"",ISNUMBER($G18),$G18&gt;=1,OR($O18="insufficient_source_evidence",$O18="operational_failure"),$H18="",$J18="",$L18="",$N18="",$Q18&lt;&gt;"",$R18="runner_monotonic_not_scorable"),"NotScorable","Partial")))</x:f>
        <x:v>Pending</x:v>
      </x:c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50"/>
      <x:c r="O19" s="44"/>
      <x:c r="P19" s="53"/>
      <x:c r="Q19" s="53"/>
      <x:c r="R19" s="44"/>
      <x:c r="S19" s="47" t="str">
        <x:f>IF(COUNTA($H19:$R19)=0,"Pending",IF(AND($A19&lt;&gt;"",$B19&lt;&gt;"",$C19&lt;&gt;"",$D19&lt;&gt;"",$E19&lt;&gt;"",$F19&lt;&gt;"",ISNUMBER($G19),$G19&gt;=1,ISNUMBER($H19),MOD($H19,1)=0,$H19&gt;=1,$H19&lt;=5,ISNUMBER($J19),MOD($J19,1)=0,$J19&gt;=1,$J19&lt;=5,ISNUMBER($L19),MOD($L19,1)=0,$L19&gt;=1,$L19&lt;=5,ISNUMBER($N19),$N19&gt;=0,$O19="",$P19&lt;&gt;"",$Q19&lt;&gt;"",$R19="runner_monotonic_complete"),"ScorableComplete",IF(AND($A19&lt;&gt;"",$B19&lt;&gt;"",$C19&lt;&gt;"",$D19&lt;&gt;"",$E19&lt;&gt;"",$F19&lt;&gt;"",ISNUMBER($G19),$G19&gt;=1,OR($O19="insufficient_source_evidence",$O19="operational_failure"),$H19="",$J19="",$L19="",$N19="",$Q19&lt;&gt;"",$R19="runner_monotonic_not_scorable"),"NotScorable","Partial")))</x:f>
        <x:v>Pending</x:v>
      </x:c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50"/>
      <x:c r="O20" s="44"/>
      <x:c r="P20" s="53"/>
      <x:c r="Q20" s="53"/>
      <x:c r="R20" s="44"/>
      <x:c r="S20" s="47" t="str">
        <x:f>IF(COUNTA($H20:$R20)=0,"Pending",IF(AND($A20&lt;&gt;"",$B20&lt;&gt;"",$C20&lt;&gt;"",$D20&lt;&gt;"",$E20&lt;&gt;"",$F20&lt;&gt;"",ISNUMBER($G20),$G20&gt;=1,ISNUMBER($H20),MOD($H20,1)=0,$H20&gt;=1,$H20&lt;=5,ISNUMBER($J20),MOD($J20,1)=0,$J20&gt;=1,$J20&lt;=5,ISNUMBER($L20),MOD($L20,1)=0,$L20&gt;=1,$L20&lt;=5,ISNUMBER($N20),$N20&gt;=0,$O20="",$P20&lt;&gt;"",$Q20&lt;&gt;"",$R20="runner_monotonic_complete"),"ScorableComplete",IF(AND($A20&lt;&gt;"",$B20&lt;&gt;"",$C20&lt;&gt;"",$D20&lt;&gt;"",$E20&lt;&gt;"",$F20&lt;&gt;"",ISNUMBER($G20),$G20&gt;=1,OR($O20="insufficient_source_evidence",$O20="operational_failure"),$H20="",$J20="",$L20="",$N20="",$Q20&lt;&gt;"",$R20="runner_monotonic_not_scorable"),"NotScorable","Partial")))</x:f>
        <x:v>Pending</x:v>
      </x:c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50"/>
      <x:c r="O21" s="44"/>
      <x:c r="P21" s="53"/>
      <x:c r="Q21" s="53"/>
      <x:c r="R21" s="44"/>
      <x:c r="S21" s="47" t="str">
        <x:f>IF(COUNTA($H21:$R21)=0,"Pending",IF(AND($A21&lt;&gt;"",$B21&lt;&gt;"",$C21&lt;&gt;"",$D21&lt;&gt;"",$E21&lt;&gt;"",$F21&lt;&gt;"",ISNUMBER($G21),$G21&gt;=1,ISNUMBER($H21),MOD($H21,1)=0,$H21&gt;=1,$H21&lt;=5,ISNUMBER($J21),MOD($J21,1)=0,$J21&gt;=1,$J21&lt;=5,ISNUMBER($L21),MOD($L21,1)=0,$L21&gt;=1,$L21&lt;=5,ISNUMBER($N21),$N21&gt;=0,$O21="",$P21&lt;&gt;"",$Q21&lt;&gt;"",$R21="runner_monotonic_complete"),"ScorableComplete",IF(AND($A21&lt;&gt;"",$B21&lt;&gt;"",$C21&lt;&gt;"",$D21&lt;&gt;"",$E21&lt;&gt;"",$F21&lt;&gt;"",ISNUMBER($G21),$G21&gt;=1,OR($O21="insufficient_source_evidence",$O21="operational_failure"),$H21="",$J21="",$L21="",$N21="",$Q21&lt;&gt;"",$R21="runner_monotonic_not_scorable"),"NotScorable","Partial")))</x:f>
        <x:v>Pending</x:v>
      </x:c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50"/>
      <x:c r="O22" s="44"/>
      <x:c r="P22" s="53"/>
      <x:c r="Q22" s="53"/>
      <x:c r="R22" s="44"/>
      <x:c r="S22" s="47" t="str">
        <x:f>IF(COUNTA($H22:$R22)=0,"Pending",IF(AND($A22&lt;&gt;"",$B22&lt;&gt;"",$C22&lt;&gt;"",$D22&lt;&gt;"",$E22&lt;&gt;"",$F22&lt;&gt;"",ISNUMBER($G22),$G22&gt;=1,ISNUMBER($H22),MOD($H22,1)=0,$H22&gt;=1,$H22&lt;=5,ISNUMBER($J22),MOD($J22,1)=0,$J22&gt;=1,$J22&lt;=5,ISNUMBER($L22),MOD($L22,1)=0,$L22&gt;=1,$L22&lt;=5,ISNUMBER($N22),$N22&gt;=0,$O22="",$P22&lt;&gt;"",$Q22&lt;&gt;"",$R22="runner_monotonic_complete"),"ScorableComplete",IF(AND($A22&lt;&gt;"",$B22&lt;&gt;"",$C22&lt;&gt;"",$D22&lt;&gt;"",$E22&lt;&gt;"",$F22&lt;&gt;"",ISNUMBER($G22),$G22&gt;=1,OR($O22="insufficient_source_evidence",$O22="operational_failure"),$H22="",$J22="",$L22="",$N22="",$Q22&lt;&gt;"",$R22="runner_monotonic_not_scorable"),"NotScorable","Partial")))</x:f>
        <x:v>Pending</x:v>
      </x:c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50"/>
      <x:c r="O23" s="44"/>
      <x:c r="P23" s="53"/>
      <x:c r="Q23" s="53"/>
      <x:c r="R23" s="44"/>
      <x:c r="S23" s="47" t="str">
        <x:f>IF(COUNTA($H23:$R23)=0,"Pending",IF(AND($A23&lt;&gt;"",$B23&lt;&gt;"",$C23&lt;&gt;"",$D23&lt;&gt;"",$E23&lt;&gt;"",$F23&lt;&gt;"",ISNUMBER($G23),$G23&gt;=1,ISNUMBER($H23),MOD($H23,1)=0,$H23&gt;=1,$H23&lt;=5,ISNUMBER($J23),MOD($J23,1)=0,$J23&gt;=1,$J23&lt;=5,ISNUMBER($L23),MOD($L23,1)=0,$L23&gt;=1,$L23&lt;=5,ISNUMBER($N23),$N23&gt;=0,$O23="",$P23&lt;&gt;"",$Q23&lt;&gt;"",$R23="runner_monotonic_complete"),"ScorableComplete",IF(AND($A23&lt;&gt;"",$B23&lt;&gt;"",$C23&lt;&gt;"",$D23&lt;&gt;"",$E23&lt;&gt;"",$F23&lt;&gt;"",ISNUMBER($G23),$G23&gt;=1,OR($O23="insufficient_source_evidence",$O23="operational_failure"),$H23="",$J23="",$L23="",$N23="",$Q23&lt;&gt;"",$R23="runner_monotonic_not_scorable"),"NotScorable","Partial")))</x:f>
        <x:v>Pending</x:v>
      </x:c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50"/>
      <x:c r="O24" s="44"/>
      <x:c r="P24" s="53"/>
      <x:c r="Q24" s="53"/>
      <x:c r="R24" s="44"/>
      <x:c r="S24" s="47" t="str">
        <x:f>IF(COUNTA($H24:$R24)=0,"Pending",IF(AND($A24&lt;&gt;"",$B24&lt;&gt;"",$C24&lt;&gt;"",$D24&lt;&gt;"",$E24&lt;&gt;"",$F24&lt;&gt;"",ISNUMBER($G24),$G24&gt;=1,ISNUMBER($H24),MOD($H24,1)=0,$H24&gt;=1,$H24&lt;=5,ISNUMBER($J24),MOD($J24,1)=0,$J24&gt;=1,$J24&lt;=5,ISNUMBER($L24),MOD($L24,1)=0,$L24&gt;=1,$L24&lt;=5,ISNUMBER($N24),$N24&gt;=0,$O24="",$P24&lt;&gt;"",$Q24&lt;&gt;"",$R24="runner_monotonic_complete"),"ScorableComplete",IF(AND($A24&lt;&gt;"",$B24&lt;&gt;"",$C24&lt;&gt;"",$D24&lt;&gt;"",$E24&lt;&gt;"",$F24&lt;&gt;"",ISNUMBER($G24),$G24&gt;=1,OR($O24="insufficient_source_evidence",$O24="operational_failure"),$H24="",$J24="",$L24="",$N24="",$Q24&lt;&gt;"",$R24="runner_monotonic_not_scorable"),"NotScorable","Partial")))</x:f>
        <x:v>Pending</x:v>
      </x:c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50"/>
      <x:c r="O25" s="44"/>
      <x:c r="P25" s="53"/>
      <x:c r="Q25" s="53"/>
      <x:c r="R25" s="44"/>
      <x:c r="S25" s="47" t="str">
        <x:f>IF(COUNTA($H25:$R25)=0,"Pending",IF(AND($A25&lt;&gt;"",$B25&lt;&gt;"",$C25&lt;&gt;"",$D25&lt;&gt;"",$E25&lt;&gt;"",$F25&lt;&gt;"",ISNUMBER($G25),$G25&gt;=1,ISNUMBER($H25),MOD($H25,1)=0,$H25&gt;=1,$H25&lt;=5,ISNUMBER($J25),MOD($J25,1)=0,$J25&gt;=1,$J25&lt;=5,ISNUMBER($L25),MOD($L25,1)=0,$L25&gt;=1,$L25&lt;=5,ISNUMBER($N25),$N25&gt;=0,$O25="",$P25&lt;&gt;"",$Q25&lt;&gt;"",$R25="runner_monotonic_complete"),"ScorableComplete",IF(AND($A25&lt;&gt;"",$B25&lt;&gt;"",$C25&lt;&gt;"",$D25&lt;&gt;"",$E25&lt;&gt;"",$F25&lt;&gt;"",ISNUMBER($G25),$G25&gt;=1,OR($O25="insufficient_source_evidence",$O25="operational_failure"),$H25="",$J25="",$L25="",$N25="",$Q25&lt;&gt;"",$R25="runner_monotonic_not_scorable"),"NotScorable","Partial")))</x:f>
        <x:v>Pending</x:v>
      </x:c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50"/>
      <x:c r="O26" s="44"/>
      <x:c r="P26" s="53"/>
      <x:c r="Q26" s="53"/>
      <x:c r="R26" s="44"/>
      <x:c r="S26" s="47" t="str">
        <x:f>IF(COUNTA($H26:$R26)=0,"Pending",IF(AND($A26&lt;&gt;"",$B26&lt;&gt;"",$C26&lt;&gt;"",$D26&lt;&gt;"",$E26&lt;&gt;"",$F26&lt;&gt;"",ISNUMBER($G26),$G26&gt;=1,ISNUMBER($H26),MOD($H26,1)=0,$H26&gt;=1,$H26&lt;=5,ISNUMBER($J26),MOD($J26,1)=0,$J26&gt;=1,$J26&lt;=5,ISNUMBER($L26),MOD($L26,1)=0,$L26&gt;=1,$L26&lt;=5,ISNUMBER($N26),$N26&gt;=0,$O26="",$P26&lt;&gt;"",$Q26&lt;&gt;"",$R26="runner_monotonic_complete"),"ScorableComplete",IF(AND($A26&lt;&gt;"",$B26&lt;&gt;"",$C26&lt;&gt;"",$D26&lt;&gt;"",$E26&lt;&gt;"",$F26&lt;&gt;"",ISNUMBER($G26),$G26&gt;=1,OR($O26="insufficient_source_evidence",$O26="operational_failure"),$H26="",$J26="",$L26="",$N26="",$Q26&lt;&gt;"",$R26="runner_monotonic_not_scorable"),"NotScorable","Partial")))</x:f>
        <x:v>Pending</x:v>
      </x:c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50"/>
      <x:c r="O27" s="44"/>
      <x:c r="P27" s="53"/>
      <x:c r="Q27" s="53"/>
      <x:c r="R27" s="44"/>
      <x:c r="S27" s="47" t="str">
        <x:f>IF(COUNTA($H27:$R27)=0,"Pending",IF(AND($A27&lt;&gt;"",$B27&lt;&gt;"",$C27&lt;&gt;"",$D27&lt;&gt;"",$E27&lt;&gt;"",$F27&lt;&gt;"",ISNUMBER($G27),$G27&gt;=1,ISNUMBER($H27),MOD($H27,1)=0,$H27&gt;=1,$H27&lt;=5,ISNUMBER($J27),MOD($J27,1)=0,$J27&gt;=1,$J27&lt;=5,ISNUMBER($L27),MOD($L27,1)=0,$L27&gt;=1,$L27&lt;=5,ISNUMBER($N27),$N27&gt;=0,$O27="",$P27&lt;&gt;"",$Q27&lt;&gt;"",$R27="runner_monotonic_complete"),"ScorableComplete",IF(AND($A27&lt;&gt;"",$B27&lt;&gt;"",$C27&lt;&gt;"",$D27&lt;&gt;"",$E27&lt;&gt;"",$F27&lt;&gt;"",ISNUMBER($G27),$G27&gt;=1,OR($O27="insufficient_source_evidence",$O27="operational_failure"),$H27="",$J27="",$L27="",$N27="",$Q27&lt;&gt;"",$R27="runner_monotonic_not_scorable"),"NotScorable","Partial")))</x:f>
        <x:v>Pending</x:v>
      </x:c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50"/>
      <x:c r="O28" s="44"/>
      <x:c r="P28" s="53"/>
      <x:c r="Q28" s="53"/>
      <x:c r="R28" s="44"/>
      <x:c r="S28" s="47" t="str">
        <x:f>IF(COUNTA($H28:$R28)=0,"Pending",IF(AND($A28&lt;&gt;"",$B28&lt;&gt;"",$C28&lt;&gt;"",$D28&lt;&gt;"",$E28&lt;&gt;"",$F28&lt;&gt;"",ISNUMBER($G28),$G28&gt;=1,ISNUMBER($H28),MOD($H28,1)=0,$H28&gt;=1,$H28&lt;=5,ISNUMBER($J28),MOD($J28,1)=0,$J28&gt;=1,$J28&lt;=5,ISNUMBER($L28),MOD($L28,1)=0,$L28&gt;=1,$L28&lt;=5,ISNUMBER($N28),$N28&gt;=0,$O28="",$P28&lt;&gt;"",$Q28&lt;&gt;"",$R28="runner_monotonic_complete"),"ScorableComplete",IF(AND($A28&lt;&gt;"",$B28&lt;&gt;"",$C28&lt;&gt;"",$D28&lt;&gt;"",$E28&lt;&gt;"",$F28&lt;&gt;"",ISNUMBER($G28),$G28&gt;=1,OR($O28="insufficient_source_evidence",$O28="operational_failure"),$H28="",$J28="",$L28="",$N28="",$Q28&lt;&gt;"",$R28="runner_monotonic_not_scorable"),"NotScorable","Partial")))</x:f>
        <x:v>Pending</x:v>
      </x:c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50"/>
      <x:c r="O29" s="44"/>
      <x:c r="P29" s="53"/>
      <x:c r="Q29" s="53"/>
      <x:c r="R29" s="44"/>
      <x:c r="S29" s="47" t="str">
        <x:f>IF(COUNTA($H29:$R29)=0,"Pending",IF(AND($A29&lt;&gt;"",$B29&lt;&gt;"",$C29&lt;&gt;"",$D29&lt;&gt;"",$E29&lt;&gt;"",$F29&lt;&gt;"",ISNUMBER($G29),$G29&gt;=1,ISNUMBER($H29),MOD($H29,1)=0,$H29&gt;=1,$H29&lt;=5,ISNUMBER($J29),MOD($J29,1)=0,$J29&gt;=1,$J29&lt;=5,ISNUMBER($L29),MOD($L29,1)=0,$L29&gt;=1,$L29&lt;=5,ISNUMBER($N29),$N29&gt;=0,$O29="",$P29&lt;&gt;"",$Q29&lt;&gt;"",$R29="runner_monotonic_complete"),"ScorableComplete",IF(AND($A29&lt;&gt;"",$B29&lt;&gt;"",$C29&lt;&gt;"",$D29&lt;&gt;"",$E29&lt;&gt;"",$F29&lt;&gt;"",ISNUMBER($G29),$G29&gt;=1,OR($O29="insufficient_source_evidence",$O29="operational_failure"),$H29="",$J29="",$L29="",$N29="",$Q29&lt;&gt;"",$R29="runner_monotonic_not_scorable"),"NotScorable","Partial")))</x:f>
        <x:v>Pending</x:v>
      </x:c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50"/>
      <x:c r="O30" s="44"/>
      <x:c r="P30" s="53"/>
      <x:c r="Q30" s="53"/>
      <x:c r="R30" s="44"/>
      <x:c r="S30" s="47" t="str">
        <x:f>IF(COUNTA($H30:$R30)=0,"Pending",IF(AND($A30&lt;&gt;"",$B30&lt;&gt;"",$C30&lt;&gt;"",$D30&lt;&gt;"",$E30&lt;&gt;"",$F30&lt;&gt;"",ISNUMBER($G30),$G30&gt;=1,ISNUMBER($H30),MOD($H30,1)=0,$H30&gt;=1,$H30&lt;=5,ISNUMBER($J30),MOD($J30,1)=0,$J30&gt;=1,$J30&lt;=5,ISNUMBER($L30),MOD($L30,1)=0,$L30&gt;=1,$L30&lt;=5,ISNUMBER($N30),$N30&gt;=0,$O30="",$P30&lt;&gt;"",$Q30&lt;&gt;"",$R30="runner_monotonic_complete"),"ScorableComplete",IF(AND($A30&lt;&gt;"",$B30&lt;&gt;"",$C30&lt;&gt;"",$D30&lt;&gt;"",$E30&lt;&gt;"",$F30&lt;&gt;"",ISNUMBER($G30),$G30&gt;=1,OR($O30="insufficient_source_evidence",$O30="operational_failure"),$H30="",$J30="",$L30="",$N30="",$Q30&lt;&gt;"",$R30="runner_monotonic_not_scorable"),"NotScorable","Partial")))</x:f>
        <x:v>Pending</x:v>
      </x:c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50"/>
      <x:c r="O31" s="44"/>
      <x:c r="P31" s="53"/>
      <x:c r="Q31" s="53"/>
      <x:c r="R31" s="44"/>
      <x:c r="S31" s="47" t="str">
        <x:f>IF(COUNTA($H31:$R31)=0,"Pending",IF(AND($A31&lt;&gt;"",$B31&lt;&gt;"",$C31&lt;&gt;"",$D31&lt;&gt;"",$E31&lt;&gt;"",$F31&lt;&gt;"",ISNUMBER($G31),$G31&gt;=1,ISNUMBER($H31),MOD($H31,1)=0,$H31&gt;=1,$H31&lt;=5,ISNUMBER($J31),MOD($J31,1)=0,$J31&gt;=1,$J31&lt;=5,ISNUMBER($L31),MOD($L31,1)=0,$L31&gt;=1,$L31&lt;=5,ISNUMBER($N31),$N31&gt;=0,$O31="",$P31&lt;&gt;"",$Q31&lt;&gt;"",$R31="runner_monotonic_complete"),"ScorableComplete",IF(AND($A31&lt;&gt;"",$B31&lt;&gt;"",$C31&lt;&gt;"",$D31&lt;&gt;"",$E31&lt;&gt;"",$F31&lt;&gt;"",ISNUMBER($G31),$G31&gt;=1,OR($O31="insufficient_source_evidence",$O31="operational_failure"),$H31="",$J31="",$L31="",$N31="",$Q31&lt;&gt;"",$R31="runner_monotonic_not_scorable"),"NotScorable","Partial")))</x:f>
        <x:v>Pending</x:v>
      </x:c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50"/>
      <x:c r="O32" s="44"/>
      <x:c r="P32" s="53"/>
      <x:c r="Q32" s="53"/>
      <x:c r="R32" s="44"/>
      <x:c r="S32" s="47" t="str">
        <x:f>IF(COUNTA($H32:$R32)=0,"Pending",IF(AND($A32&lt;&gt;"",$B32&lt;&gt;"",$C32&lt;&gt;"",$D32&lt;&gt;"",$E32&lt;&gt;"",$F32&lt;&gt;"",ISNUMBER($G32),$G32&gt;=1,ISNUMBER($H32),MOD($H32,1)=0,$H32&gt;=1,$H32&lt;=5,ISNUMBER($J32),MOD($J32,1)=0,$J32&gt;=1,$J32&lt;=5,ISNUMBER($L32),MOD($L32,1)=0,$L32&gt;=1,$L32&lt;=5,ISNUMBER($N32),$N32&gt;=0,$O32="",$P32&lt;&gt;"",$Q32&lt;&gt;"",$R32="runner_monotonic_complete"),"ScorableComplete",IF(AND($A32&lt;&gt;"",$B32&lt;&gt;"",$C32&lt;&gt;"",$D32&lt;&gt;"",$E32&lt;&gt;"",$F32&lt;&gt;"",ISNUMBER($G32),$G32&gt;=1,OR($O32="insufficient_source_evidence",$O32="operational_failure"),$H32="",$J32="",$L32="",$N32="",$Q32&lt;&gt;"",$R32="runner_monotonic_not_scorable"),"NotScorable","Partial")))</x:f>
        <x:v>Pending</x:v>
      </x:c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50"/>
      <x:c r="O33" s="44"/>
      <x:c r="P33" s="53"/>
      <x:c r="Q33" s="53"/>
      <x:c r="R33" s="44"/>
      <x:c r="S33" s="47" t="str">
        <x:f>IF(COUNTA($H33:$R33)=0,"Pending",IF(AND($A33&lt;&gt;"",$B33&lt;&gt;"",$C33&lt;&gt;"",$D33&lt;&gt;"",$E33&lt;&gt;"",$F33&lt;&gt;"",ISNUMBER($G33),$G33&gt;=1,ISNUMBER($H33),MOD($H33,1)=0,$H33&gt;=1,$H33&lt;=5,ISNUMBER($J33),MOD($J33,1)=0,$J33&gt;=1,$J33&lt;=5,ISNUMBER($L33),MOD($L33,1)=0,$L33&gt;=1,$L33&lt;=5,ISNUMBER($N33),$N33&gt;=0,$O33="",$P33&lt;&gt;"",$Q33&lt;&gt;"",$R33="runner_monotonic_complete"),"ScorableComplete",IF(AND($A33&lt;&gt;"",$B33&lt;&gt;"",$C33&lt;&gt;"",$D33&lt;&gt;"",$E33&lt;&gt;"",$F33&lt;&gt;"",ISNUMBER($G33),$G33&gt;=1,OR($O33="insufficient_source_evidence",$O33="operational_failure"),$H33="",$J33="",$L33="",$N33="",$Q33&lt;&gt;"",$R33="runner_monotonic_not_scorable"),"NotScorable","Partial")))</x:f>
        <x:v>Pending</x:v>
      </x:c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50"/>
      <x:c r="O34" s="44"/>
      <x:c r="P34" s="53"/>
      <x:c r="Q34" s="53"/>
      <x:c r="R34" s="44"/>
      <x:c r="S34" s="47" t="str">
        <x:f>IF(COUNTA($H34:$R34)=0,"Pending",IF(AND($A34&lt;&gt;"",$B34&lt;&gt;"",$C34&lt;&gt;"",$D34&lt;&gt;"",$E34&lt;&gt;"",$F34&lt;&gt;"",ISNUMBER($G34),$G34&gt;=1,ISNUMBER($H34),MOD($H34,1)=0,$H34&gt;=1,$H34&lt;=5,ISNUMBER($J34),MOD($J34,1)=0,$J34&gt;=1,$J34&lt;=5,ISNUMBER($L34),MOD($L34,1)=0,$L34&gt;=1,$L34&lt;=5,ISNUMBER($N34),$N34&gt;=0,$O34="",$P34&lt;&gt;"",$Q34&lt;&gt;"",$R34="runner_monotonic_complete"),"ScorableComplete",IF(AND($A34&lt;&gt;"",$B34&lt;&gt;"",$C34&lt;&gt;"",$D34&lt;&gt;"",$E34&lt;&gt;"",$F34&lt;&gt;"",ISNUMBER($G34),$G34&gt;=1,OR($O34="insufficient_source_evidence",$O34="operational_failure"),$H34="",$J34="",$L34="",$N34="",$Q34&lt;&gt;"",$R34="runner_monotonic_not_scorable"),"NotScorable","Partial")))</x:f>
        <x:v>Pending</x:v>
      </x:c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50"/>
      <x:c r="O35" s="44"/>
      <x:c r="P35" s="53"/>
      <x:c r="Q35" s="53"/>
      <x:c r="R35" s="44"/>
      <x:c r="S35" s="47" t="str">
        <x:f>IF(COUNTA($H35:$R35)=0,"Pending",IF(AND($A35&lt;&gt;"",$B35&lt;&gt;"",$C35&lt;&gt;"",$D35&lt;&gt;"",$E35&lt;&gt;"",$F35&lt;&gt;"",ISNUMBER($G35),$G35&gt;=1,ISNUMBER($H35),MOD($H35,1)=0,$H35&gt;=1,$H35&lt;=5,ISNUMBER($J35),MOD($J35,1)=0,$J35&gt;=1,$J35&lt;=5,ISNUMBER($L35),MOD($L35,1)=0,$L35&gt;=1,$L35&lt;=5,ISNUMBER($N35),$N35&gt;=0,$O35="",$P35&lt;&gt;"",$Q35&lt;&gt;"",$R35="runner_monotonic_complete"),"ScorableComplete",IF(AND($A35&lt;&gt;"",$B35&lt;&gt;"",$C35&lt;&gt;"",$D35&lt;&gt;"",$E35&lt;&gt;"",$F35&lt;&gt;"",ISNUMBER($G35),$G35&gt;=1,OR($O35="insufficient_source_evidence",$O35="operational_failure"),$H35="",$J35="",$L35="",$N35="",$Q35&lt;&gt;"",$R35="runner_monotonic_not_scorable"),"NotScorable","Partial")))</x:f>
        <x:v>Pending</x:v>
      </x:c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50"/>
      <x:c r="O36" s="44"/>
      <x:c r="P36" s="53"/>
      <x:c r="Q36" s="53"/>
      <x:c r="R36" s="44"/>
      <x:c r="S36" s="47" t="str">
        <x:f>IF(COUNTA($H36:$R36)=0,"Pending",IF(AND($A36&lt;&gt;"",$B36&lt;&gt;"",$C36&lt;&gt;"",$D36&lt;&gt;"",$E36&lt;&gt;"",$F36&lt;&gt;"",ISNUMBER($G36),$G36&gt;=1,ISNUMBER($H36),MOD($H36,1)=0,$H36&gt;=1,$H36&lt;=5,ISNUMBER($J36),MOD($J36,1)=0,$J36&gt;=1,$J36&lt;=5,ISNUMBER($L36),MOD($L36,1)=0,$L36&gt;=1,$L36&lt;=5,ISNUMBER($N36),$N36&gt;=0,$O36="",$P36&lt;&gt;"",$Q36&lt;&gt;"",$R36="runner_monotonic_complete"),"ScorableComplete",IF(AND($A36&lt;&gt;"",$B36&lt;&gt;"",$C36&lt;&gt;"",$D36&lt;&gt;"",$E36&lt;&gt;"",$F36&lt;&gt;"",ISNUMBER($G36),$G36&gt;=1,OR($O36="insufficient_source_evidence",$O36="operational_failure"),$H36="",$J36="",$L36="",$N36="",$Q36&lt;&gt;"",$R36="runner_monotonic_not_scorable"),"NotScorable","Partial")))</x:f>
        <x:v>Pending</x:v>
      </x:c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50"/>
      <x:c r="O37" s="44"/>
      <x:c r="P37" s="53"/>
      <x:c r="Q37" s="53"/>
      <x:c r="R37" s="44"/>
      <x:c r="S37" s="47" t="str">
        <x:f>IF(COUNTA($H37:$R37)=0,"Pending",IF(AND($A37&lt;&gt;"",$B37&lt;&gt;"",$C37&lt;&gt;"",$D37&lt;&gt;"",$E37&lt;&gt;"",$F37&lt;&gt;"",ISNUMBER($G37),$G37&gt;=1,ISNUMBER($H37),MOD($H37,1)=0,$H37&gt;=1,$H37&lt;=5,ISNUMBER($J37),MOD($J37,1)=0,$J37&gt;=1,$J37&lt;=5,ISNUMBER($L37),MOD($L37,1)=0,$L37&gt;=1,$L37&lt;=5,ISNUMBER($N37),$N37&gt;=0,$O37="",$P37&lt;&gt;"",$Q37&lt;&gt;"",$R37="runner_monotonic_complete"),"ScorableComplete",IF(AND($A37&lt;&gt;"",$B37&lt;&gt;"",$C37&lt;&gt;"",$D37&lt;&gt;"",$E37&lt;&gt;"",$F37&lt;&gt;"",ISNUMBER($G37),$G37&gt;=1,OR($O37="insufficient_source_evidence",$O37="operational_failure"),$H37="",$J37="",$L37="",$N37="",$Q37&lt;&gt;"",$R37="runner_monotonic_not_scorable"),"NotScorable","Partial")))</x:f>
        <x:v>Pending</x:v>
      </x:c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50"/>
      <x:c r="O38" s="44"/>
      <x:c r="P38" s="53"/>
      <x:c r="Q38" s="53"/>
      <x:c r="R38" s="44"/>
      <x:c r="S38" s="47" t="str">
        <x:f>IF(COUNTA($H38:$R38)=0,"Pending",IF(AND($A38&lt;&gt;"",$B38&lt;&gt;"",$C38&lt;&gt;"",$D38&lt;&gt;"",$E38&lt;&gt;"",$F38&lt;&gt;"",ISNUMBER($G38),$G38&gt;=1,ISNUMBER($H38),MOD($H38,1)=0,$H38&gt;=1,$H38&lt;=5,ISNUMBER($J38),MOD($J38,1)=0,$J38&gt;=1,$J38&lt;=5,ISNUMBER($L38),MOD($L38,1)=0,$L38&gt;=1,$L38&lt;=5,ISNUMBER($N38),$N38&gt;=0,$O38="",$P38&lt;&gt;"",$Q38&lt;&gt;"",$R38="runner_monotonic_complete"),"ScorableComplete",IF(AND($A38&lt;&gt;"",$B38&lt;&gt;"",$C38&lt;&gt;"",$D38&lt;&gt;"",$E38&lt;&gt;"",$F38&lt;&gt;"",ISNUMBER($G38),$G38&gt;=1,OR($O38="insufficient_source_evidence",$O38="operational_failure"),$H38="",$J38="",$L38="",$N38="",$Q38&lt;&gt;"",$R38="runner_monotonic_not_scorable"),"NotScorable","Partial")))</x:f>
        <x:v>Pending</x:v>
      </x:c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50"/>
      <x:c r="O39" s="44"/>
      <x:c r="P39" s="53"/>
      <x:c r="Q39" s="53"/>
      <x:c r="R39" s="44"/>
      <x:c r="S39" s="47" t="str">
        <x:f>IF(COUNTA($H39:$R39)=0,"Pending",IF(AND($A39&lt;&gt;"",$B39&lt;&gt;"",$C39&lt;&gt;"",$D39&lt;&gt;"",$E39&lt;&gt;"",$F39&lt;&gt;"",ISNUMBER($G39),$G39&gt;=1,ISNUMBER($H39),MOD($H39,1)=0,$H39&gt;=1,$H39&lt;=5,ISNUMBER($J39),MOD($J39,1)=0,$J39&gt;=1,$J39&lt;=5,ISNUMBER($L39),MOD($L39,1)=0,$L39&gt;=1,$L39&lt;=5,ISNUMBER($N39),$N39&gt;=0,$O39="",$P39&lt;&gt;"",$Q39&lt;&gt;"",$R39="runner_monotonic_complete"),"ScorableComplete",IF(AND($A39&lt;&gt;"",$B39&lt;&gt;"",$C39&lt;&gt;"",$D39&lt;&gt;"",$E39&lt;&gt;"",$F39&lt;&gt;"",ISNUMBER($G39),$G39&gt;=1,OR($O39="insufficient_source_evidence",$O39="operational_failure"),$H39="",$J39="",$L39="",$N39="",$Q39&lt;&gt;"",$R39="runner_monotonic_not_scorable"),"NotScorable","Partial")))</x:f>
        <x:v>Pending</x:v>
      </x:c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50"/>
      <x:c r="O40" s="44"/>
      <x:c r="P40" s="53"/>
      <x:c r="Q40" s="53"/>
      <x:c r="R40" s="44"/>
      <x:c r="S40" s="47" t="str">
        <x:f>IF(COUNTA($H40:$R40)=0,"Pending",IF(AND($A40&lt;&gt;"",$B40&lt;&gt;"",$C40&lt;&gt;"",$D40&lt;&gt;"",$E40&lt;&gt;"",$F40&lt;&gt;"",ISNUMBER($G40),$G40&gt;=1,ISNUMBER($H40),MOD($H40,1)=0,$H40&gt;=1,$H40&lt;=5,ISNUMBER($J40),MOD($J40,1)=0,$J40&gt;=1,$J40&lt;=5,ISNUMBER($L40),MOD($L40,1)=0,$L40&gt;=1,$L40&lt;=5,ISNUMBER($N40),$N40&gt;=0,$O40="",$P40&lt;&gt;"",$Q40&lt;&gt;"",$R40="runner_monotonic_complete"),"ScorableComplete",IF(AND($A40&lt;&gt;"",$B40&lt;&gt;"",$C40&lt;&gt;"",$D40&lt;&gt;"",$E40&lt;&gt;"",$F40&lt;&gt;"",ISNUMBER($G40),$G40&gt;=1,OR($O40="insufficient_source_evidence",$O40="operational_failure"),$H40="",$J40="",$L40="",$N40="",$Q40&lt;&gt;"",$R40="runner_monotonic_not_scorable"),"NotScorable","Partial")))</x:f>
        <x:v>Pending</x:v>
      </x:c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50"/>
      <x:c r="O41" s="44"/>
      <x:c r="P41" s="53"/>
      <x:c r="Q41" s="53"/>
      <x:c r="R41" s="44"/>
      <x:c r="S41" s="47" t="str">
        <x:f>IF(COUNTA($H41:$R41)=0,"Pending",IF(AND($A41&lt;&gt;"",$B41&lt;&gt;"",$C41&lt;&gt;"",$D41&lt;&gt;"",$E41&lt;&gt;"",$F41&lt;&gt;"",ISNUMBER($G41),$G41&gt;=1,ISNUMBER($H41),MOD($H41,1)=0,$H41&gt;=1,$H41&lt;=5,ISNUMBER($J41),MOD($J41,1)=0,$J41&gt;=1,$J41&lt;=5,ISNUMBER($L41),MOD($L41,1)=0,$L41&gt;=1,$L41&lt;=5,ISNUMBER($N41),$N41&gt;=0,$O41="",$P41&lt;&gt;"",$Q41&lt;&gt;"",$R41="runner_monotonic_complete"),"ScorableComplete",IF(AND($A41&lt;&gt;"",$B41&lt;&gt;"",$C41&lt;&gt;"",$D41&lt;&gt;"",$E41&lt;&gt;"",$F41&lt;&gt;"",ISNUMBER($G41),$G41&gt;=1,OR($O41="insufficient_source_evidence",$O41="operational_failure"),$H41="",$J41="",$L41="",$N41="",$Q41&lt;&gt;"",$R41="runner_monotonic_not_scorable"),"NotScorable","Partial")))</x:f>
        <x:v>Pending</x:v>
      </x:c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50"/>
      <x:c r="O42" s="44"/>
      <x:c r="P42" s="53"/>
      <x:c r="Q42" s="53"/>
      <x:c r="R42" s="44"/>
      <x:c r="S42" s="47" t="str">
        <x:f>IF(COUNTA($H42:$R42)=0,"Pending",IF(AND($A42&lt;&gt;"",$B42&lt;&gt;"",$C42&lt;&gt;"",$D42&lt;&gt;"",$E42&lt;&gt;"",$F42&lt;&gt;"",ISNUMBER($G42),$G42&gt;=1,ISNUMBER($H42),MOD($H42,1)=0,$H42&gt;=1,$H42&lt;=5,ISNUMBER($J42),MOD($J42,1)=0,$J42&gt;=1,$J42&lt;=5,ISNUMBER($L42),MOD($L42,1)=0,$L42&gt;=1,$L42&lt;=5,ISNUMBER($N42),$N42&gt;=0,$O42="",$P42&lt;&gt;"",$Q42&lt;&gt;"",$R42="runner_monotonic_complete"),"ScorableComplete",IF(AND($A42&lt;&gt;"",$B42&lt;&gt;"",$C42&lt;&gt;"",$D42&lt;&gt;"",$E42&lt;&gt;"",$F42&lt;&gt;"",ISNUMBER($G42),$G42&gt;=1,OR($O42="insufficient_source_evidence",$O42="operational_failure"),$H42="",$J42="",$L42="",$N42="",$Q42&lt;&gt;"",$R42="runner_monotonic_not_scorable"),"NotScorable","Partial")))</x:f>
        <x:v>Pending</x:v>
      </x:c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50"/>
      <x:c r="O43" s="44"/>
      <x:c r="P43" s="53"/>
      <x:c r="Q43" s="53"/>
      <x:c r="R43" s="44"/>
      <x:c r="S43" s="47" t="str">
        <x:f>IF(COUNTA($H43:$R43)=0,"Pending",IF(AND($A43&lt;&gt;"",$B43&lt;&gt;"",$C43&lt;&gt;"",$D43&lt;&gt;"",$E43&lt;&gt;"",$F43&lt;&gt;"",ISNUMBER($G43),$G43&gt;=1,ISNUMBER($H43),MOD($H43,1)=0,$H43&gt;=1,$H43&lt;=5,ISNUMBER($J43),MOD($J43,1)=0,$J43&gt;=1,$J43&lt;=5,ISNUMBER($L43),MOD($L43,1)=0,$L43&gt;=1,$L43&lt;=5,ISNUMBER($N43),$N43&gt;=0,$O43="",$P43&lt;&gt;"",$Q43&lt;&gt;"",$R43="runner_monotonic_complete"),"ScorableComplete",IF(AND($A43&lt;&gt;"",$B43&lt;&gt;"",$C43&lt;&gt;"",$D43&lt;&gt;"",$E43&lt;&gt;"",$F43&lt;&gt;"",ISNUMBER($G43),$G43&gt;=1,OR($O43="insufficient_source_evidence",$O43="operational_failure"),$H43="",$J43="",$L43="",$N43="",$Q43&lt;&gt;"",$R43="runner_monotonic_not_scorable"),"NotScorable","Partial")))</x:f>
        <x:v>Pending</x:v>
      </x:c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50"/>
      <x:c r="O44" s="44"/>
      <x:c r="P44" s="53"/>
      <x:c r="Q44" s="53"/>
      <x:c r="R44" s="44"/>
      <x:c r="S44" s="47" t="str">
        <x:f>IF(COUNTA($H44:$R44)=0,"Pending",IF(AND($A44&lt;&gt;"",$B44&lt;&gt;"",$C44&lt;&gt;"",$D44&lt;&gt;"",$E44&lt;&gt;"",$F44&lt;&gt;"",ISNUMBER($G44),$G44&gt;=1,ISNUMBER($H44),MOD($H44,1)=0,$H44&gt;=1,$H44&lt;=5,ISNUMBER($J44),MOD($J44,1)=0,$J44&gt;=1,$J44&lt;=5,ISNUMBER($L44),MOD($L44,1)=0,$L44&gt;=1,$L44&lt;=5,ISNUMBER($N44),$N44&gt;=0,$O44="",$P44&lt;&gt;"",$Q44&lt;&gt;"",$R44="runner_monotonic_complete"),"ScorableComplete",IF(AND($A44&lt;&gt;"",$B44&lt;&gt;"",$C44&lt;&gt;"",$D44&lt;&gt;"",$E44&lt;&gt;"",$F44&lt;&gt;"",ISNUMBER($G44),$G44&gt;=1,OR($O44="insufficient_source_evidence",$O44="operational_failure"),$H44="",$J44="",$L44="",$N44="",$Q44&lt;&gt;"",$R44="runner_monotonic_not_scorable"),"NotScorable","Partial")))</x:f>
        <x:v>Pending</x:v>
      </x:c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50"/>
      <x:c r="O45" s="44"/>
      <x:c r="P45" s="53"/>
      <x:c r="Q45" s="53"/>
      <x:c r="R45" s="44"/>
      <x:c r="S45" s="47" t="str">
        <x:f>IF(COUNTA($H45:$R45)=0,"Pending",IF(AND($A45&lt;&gt;"",$B45&lt;&gt;"",$C45&lt;&gt;"",$D45&lt;&gt;"",$E45&lt;&gt;"",$F45&lt;&gt;"",ISNUMBER($G45),$G45&gt;=1,ISNUMBER($H45),MOD($H45,1)=0,$H45&gt;=1,$H45&lt;=5,ISNUMBER($J45),MOD($J45,1)=0,$J45&gt;=1,$J45&lt;=5,ISNUMBER($L45),MOD($L45,1)=0,$L45&gt;=1,$L45&lt;=5,ISNUMBER($N45),$N45&gt;=0,$O45="",$P45&lt;&gt;"",$Q45&lt;&gt;"",$R45="runner_monotonic_complete"),"ScorableComplete",IF(AND($A45&lt;&gt;"",$B45&lt;&gt;"",$C45&lt;&gt;"",$D45&lt;&gt;"",$E45&lt;&gt;"",$F45&lt;&gt;"",ISNUMBER($G45),$G45&gt;=1,OR($O45="insufficient_source_evidence",$O45="operational_failure"),$H45="",$J45="",$L45="",$N45="",$Q45&lt;&gt;"",$R45="runner_monotonic_not_scorable"),"NotScorable","Partial")))</x:f>
        <x:v>Pending</x:v>
      </x:c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50"/>
      <x:c r="O46" s="44"/>
      <x:c r="P46" s="53"/>
      <x:c r="Q46" s="53"/>
      <x:c r="R46" s="44"/>
      <x:c r="S46" s="47" t="str">
        <x:f>IF(COUNTA($H46:$R46)=0,"Pending",IF(AND($A46&lt;&gt;"",$B46&lt;&gt;"",$C46&lt;&gt;"",$D46&lt;&gt;"",$E46&lt;&gt;"",$F46&lt;&gt;"",ISNUMBER($G46),$G46&gt;=1,ISNUMBER($H46),MOD($H46,1)=0,$H46&gt;=1,$H46&lt;=5,ISNUMBER($J46),MOD($J46,1)=0,$J46&gt;=1,$J46&lt;=5,ISNUMBER($L46),MOD($L46,1)=0,$L46&gt;=1,$L46&lt;=5,ISNUMBER($N46),$N46&gt;=0,$O46="",$P46&lt;&gt;"",$Q46&lt;&gt;"",$R46="runner_monotonic_complete"),"ScorableComplete",IF(AND($A46&lt;&gt;"",$B46&lt;&gt;"",$C46&lt;&gt;"",$D46&lt;&gt;"",$E46&lt;&gt;"",$F46&lt;&gt;"",ISNUMBER($G46),$G46&gt;=1,OR($O46="insufficient_source_evidence",$O46="operational_failure"),$H46="",$J46="",$L46="",$N46="",$Q46&lt;&gt;"",$R46="runner_monotonic_not_scorable"),"NotScorable","Partial")))</x:f>
        <x:v>Pending</x:v>
      </x:c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50"/>
      <x:c r="O47" s="44"/>
      <x:c r="P47" s="53"/>
      <x:c r="Q47" s="53"/>
      <x:c r="R47" s="44"/>
      <x:c r="S47" s="47" t="str">
        <x:f>IF(COUNTA($H47:$R47)=0,"Pending",IF(AND($A47&lt;&gt;"",$B47&lt;&gt;"",$C47&lt;&gt;"",$D47&lt;&gt;"",$E47&lt;&gt;"",$F47&lt;&gt;"",ISNUMBER($G47),$G47&gt;=1,ISNUMBER($H47),MOD($H47,1)=0,$H47&gt;=1,$H47&lt;=5,ISNUMBER($J47),MOD($J47,1)=0,$J47&gt;=1,$J47&lt;=5,ISNUMBER($L47),MOD($L47,1)=0,$L47&gt;=1,$L47&lt;=5,ISNUMBER($N47),$N47&gt;=0,$O47="",$P47&lt;&gt;"",$Q47&lt;&gt;"",$R47="runner_monotonic_complete"),"ScorableComplete",IF(AND($A47&lt;&gt;"",$B47&lt;&gt;"",$C47&lt;&gt;"",$D47&lt;&gt;"",$E47&lt;&gt;"",$F47&lt;&gt;"",ISNUMBER($G47),$G47&gt;=1,OR($O47="insufficient_source_evidence",$O47="operational_failure"),$H47="",$J47="",$L47="",$N47="",$Q47&lt;&gt;"",$R47="runner_monotonic_not_scorable"),"NotScorable","Partial")))</x:f>
        <x:v>Pending</x:v>
      </x:c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50"/>
      <x:c r="O48" s="44"/>
      <x:c r="P48" s="53"/>
      <x:c r="Q48" s="53"/>
      <x:c r="R48" s="44"/>
      <x:c r="S48" s="47" t="str">
        <x:f>IF(COUNTA($H48:$R48)=0,"Pending",IF(AND($A48&lt;&gt;"",$B48&lt;&gt;"",$C48&lt;&gt;"",$D48&lt;&gt;"",$E48&lt;&gt;"",$F48&lt;&gt;"",ISNUMBER($G48),$G48&gt;=1,ISNUMBER($H48),MOD($H48,1)=0,$H48&gt;=1,$H48&lt;=5,ISNUMBER($J48),MOD($J48,1)=0,$J48&gt;=1,$J48&lt;=5,ISNUMBER($L48),MOD($L48,1)=0,$L48&gt;=1,$L48&lt;=5,ISNUMBER($N48),$N48&gt;=0,$O48="",$P48&lt;&gt;"",$Q48&lt;&gt;"",$R48="runner_monotonic_complete"),"ScorableComplete",IF(AND($A48&lt;&gt;"",$B48&lt;&gt;"",$C48&lt;&gt;"",$D48&lt;&gt;"",$E48&lt;&gt;"",$F48&lt;&gt;"",ISNUMBER($G48),$G48&gt;=1,OR($O48="insufficient_source_evidence",$O48="operational_failure"),$H48="",$J48="",$L48="",$N48="",$Q48&lt;&gt;"",$R48="runner_monotonic_not_scorable"),"NotScorable","Partial")))</x:f>
        <x:v>Pending</x:v>
      </x:c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50"/>
      <x:c r="O49" s="44"/>
      <x:c r="P49" s="53"/>
      <x:c r="Q49" s="53"/>
      <x:c r="R49" s="44"/>
      <x:c r="S49" s="47" t="str">
        <x:f>IF(COUNTA($H49:$R49)=0,"Pending",IF(AND($A49&lt;&gt;"",$B49&lt;&gt;"",$C49&lt;&gt;"",$D49&lt;&gt;"",$E49&lt;&gt;"",$F49&lt;&gt;"",ISNUMBER($G49),$G49&gt;=1,ISNUMBER($H49),MOD($H49,1)=0,$H49&gt;=1,$H49&lt;=5,ISNUMBER($J49),MOD($J49,1)=0,$J49&gt;=1,$J49&lt;=5,ISNUMBER($L49),MOD($L49,1)=0,$L49&gt;=1,$L49&lt;=5,ISNUMBER($N49),$N49&gt;=0,$O49="",$P49&lt;&gt;"",$Q49&lt;&gt;"",$R49="runner_monotonic_complete"),"ScorableComplete",IF(AND($A49&lt;&gt;"",$B49&lt;&gt;"",$C49&lt;&gt;"",$D49&lt;&gt;"",$E49&lt;&gt;"",$F49&lt;&gt;"",ISNUMBER($G49),$G49&gt;=1,OR($O49="insufficient_source_evidence",$O49="operational_failure"),$H49="",$J49="",$L49="",$N49="",$Q49&lt;&gt;"",$R49="runner_monotonic_not_scorable"),"NotScorable","Partial")))</x:f>
        <x:v>Pending</x:v>
      </x:c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50"/>
      <x:c r="O50" s="44"/>
      <x:c r="P50" s="53"/>
      <x:c r="Q50" s="53"/>
      <x:c r="R50" s="44"/>
      <x:c r="S50" s="47" t="str">
        <x:f>IF(COUNTA($H50:$R50)=0,"Pending",IF(AND($A50&lt;&gt;"",$B50&lt;&gt;"",$C50&lt;&gt;"",$D50&lt;&gt;"",$E50&lt;&gt;"",$F50&lt;&gt;"",ISNUMBER($G50),$G50&gt;=1,ISNUMBER($H50),MOD($H50,1)=0,$H50&gt;=1,$H50&lt;=5,ISNUMBER($J50),MOD($J50,1)=0,$J50&gt;=1,$J50&lt;=5,ISNUMBER($L50),MOD($L50,1)=0,$L50&gt;=1,$L50&lt;=5,ISNUMBER($N50),$N50&gt;=0,$O50="",$P50&lt;&gt;"",$Q50&lt;&gt;"",$R50="runner_monotonic_complete"),"ScorableComplete",IF(AND($A50&lt;&gt;"",$B50&lt;&gt;"",$C50&lt;&gt;"",$D50&lt;&gt;"",$E50&lt;&gt;"",$F50&lt;&gt;"",ISNUMBER($G50),$G50&gt;=1,OR($O50="insufficient_source_evidence",$O50="operational_failure"),$H50="",$J50="",$L50="",$N50="",$Q50&lt;&gt;"",$R50="runner_monotonic_not_scorable"),"NotScorable","Partial")))</x:f>
        <x:v>Pending</x:v>
      </x:c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50"/>
      <x:c r="O51" s="44"/>
      <x:c r="P51" s="53"/>
      <x:c r="Q51" s="53"/>
      <x:c r="R51" s="44"/>
      <x:c r="S51" s="47" t="str">
        <x:f>IF(COUNTA($H51:$R51)=0,"Pending",IF(AND($A51&lt;&gt;"",$B51&lt;&gt;"",$C51&lt;&gt;"",$D51&lt;&gt;"",$E51&lt;&gt;"",$F51&lt;&gt;"",ISNUMBER($G51),$G51&gt;=1,ISNUMBER($H51),MOD($H51,1)=0,$H51&gt;=1,$H51&lt;=5,ISNUMBER($J51),MOD($J51,1)=0,$J51&gt;=1,$J51&lt;=5,ISNUMBER($L51),MOD($L51,1)=0,$L51&gt;=1,$L51&lt;=5,ISNUMBER($N51),$N51&gt;=0,$O51="",$P51&lt;&gt;"",$Q51&lt;&gt;"",$R51="runner_monotonic_complete"),"ScorableComplete",IF(AND($A51&lt;&gt;"",$B51&lt;&gt;"",$C51&lt;&gt;"",$D51&lt;&gt;"",$E51&lt;&gt;"",$F51&lt;&gt;"",ISNUMBER($G51),$G51&gt;=1,OR($O51="insufficient_source_evidence",$O51="operational_failure"),$H51="",$J51="",$L51="",$N51="",$Q51&lt;&gt;"",$R51="runner_monotonic_not_scorable"),"NotScorable","Partial")))</x:f>
        <x:v>Pending</x:v>
      </x:c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50"/>
      <x:c r="O52" s="44"/>
      <x:c r="P52" s="53"/>
      <x:c r="Q52" s="53"/>
      <x:c r="R52" s="44"/>
      <x:c r="S52" s="47" t="str">
        <x:f>IF(COUNTA($H52:$R52)=0,"Pending",IF(AND($A52&lt;&gt;"",$B52&lt;&gt;"",$C52&lt;&gt;"",$D52&lt;&gt;"",$E52&lt;&gt;"",$F52&lt;&gt;"",ISNUMBER($G52),$G52&gt;=1,ISNUMBER($H52),MOD($H52,1)=0,$H52&gt;=1,$H52&lt;=5,ISNUMBER($J52),MOD($J52,1)=0,$J52&gt;=1,$J52&lt;=5,ISNUMBER($L52),MOD($L52,1)=0,$L52&gt;=1,$L52&lt;=5,ISNUMBER($N52),$N52&gt;=0,$O52="",$P52&lt;&gt;"",$Q52&lt;&gt;"",$R52="runner_monotonic_complete"),"ScorableComplete",IF(AND($A52&lt;&gt;"",$B52&lt;&gt;"",$C52&lt;&gt;"",$D52&lt;&gt;"",$E52&lt;&gt;"",$F52&lt;&gt;"",ISNUMBER($G52),$G52&gt;=1,OR($O52="insufficient_source_evidence",$O52="operational_failure"),$H52="",$J52="",$L52="",$N52="",$Q52&lt;&gt;"",$R52="runner_monotonic_not_scorable"),"NotScorable","Partial")))</x:f>
        <x:v>Pending</x:v>
      </x:c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50"/>
      <x:c r="O53" s="44"/>
      <x:c r="P53" s="53"/>
      <x:c r="Q53" s="53"/>
      <x:c r="R53" s="44"/>
      <x:c r="S53" s="47" t="str">
        <x:f>IF(COUNTA($H53:$R53)=0,"Pending",IF(AND($A53&lt;&gt;"",$B53&lt;&gt;"",$C53&lt;&gt;"",$D53&lt;&gt;"",$E53&lt;&gt;"",$F53&lt;&gt;"",ISNUMBER($G53),$G53&gt;=1,ISNUMBER($H53),MOD($H53,1)=0,$H53&gt;=1,$H53&lt;=5,ISNUMBER($J53),MOD($J53,1)=0,$J53&gt;=1,$J53&lt;=5,ISNUMBER($L53),MOD($L53,1)=0,$L53&gt;=1,$L53&lt;=5,ISNUMBER($N53),$N53&gt;=0,$O53="",$P53&lt;&gt;"",$Q53&lt;&gt;"",$R53="runner_monotonic_complete"),"ScorableComplete",IF(AND($A53&lt;&gt;"",$B53&lt;&gt;"",$C53&lt;&gt;"",$D53&lt;&gt;"",$E53&lt;&gt;"",$F53&lt;&gt;"",ISNUMBER($G53),$G53&gt;=1,OR($O53="insufficient_source_evidence",$O53="operational_failure"),$H53="",$J53="",$L53="",$N53="",$Q53&lt;&gt;"",$R53="runner_monotonic_not_scorable"),"NotScorable","Partial")))</x:f>
        <x:v>Pending</x:v>
      </x:c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50"/>
      <x:c r="O54" s="44"/>
      <x:c r="P54" s="53"/>
      <x:c r="Q54" s="53"/>
      <x:c r="R54" s="44"/>
      <x:c r="S54" s="47" t="str">
        <x:f>IF(COUNTA($H54:$R54)=0,"Pending",IF(AND($A54&lt;&gt;"",$B54&lt;&gt;"",$C54&lt;&gt;"",$D54&lt;&gt;"",$E54&lt;&gt;"",$F54&lt;&gt;"",ISNUMBER($G54),$G54&gt;=1,ISNUMBER($H54),MOD($H54,1)=0,$H54&gt;=1,$H54&lt;=5,ISNUMBER($J54),MOD($J54,1)=0,$J54&gt;=1,$J54&lt;=5,ISNUMBER($L54),MOD($L54,1)=0,$L54&gt;=1,$L54&lt;=5,ISNUMBER($N54),$N54&gt;=0,$O54="",$P54&lt;&gt;"",$Q54&lt;&gt;"",$R54="runner_monotonic_complete"),"ScorableComplete",IF(AND($A54&lt;&gt;"",$B54&lt;&gt;"",$C54&lt;&gt;"",$D54&lt;&gt;"",$E54&lt;&gt;"",$F54&lt;&gt;"",ISNUMBER($G54),$G54&gt;=1,OR($O54="insufficient_source_evidence",$O54="operational_failure"),$H54="",$J54="",$L54="",$N54="",$Q54&lt;&gt;"",$R54="runner_monotonic_not_scorable"),"NotScorable","Partial")))</x:f>
        <x:v>Pending</x:v>
      </x:c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50"/>
      <x:c r="O55" s="44"/>
      <x:c r="P55" s="53"/>
      <x:c r="Q55" s="53"/>
      <x:c r="R55" s="44"/>
      <x:c r="S55" s="47" t="str">
        <x:f>IF(COUNTA($H55:$R55)=0,"Pending",IF(AND($A55&lt;&gt;"",$B55&lt;&gt;"",$C55&lt;&gt;"",$D55&lt;&gt;"",$E55&lt;&gt;"",$F55&lt;&gt;"",ISNUMBER($G55),$G55&gt;=1,ISNUMBER($H55),MOD($H55,1)=0,$H55&gt;=1,$H55&lt;=5,ISNUMBER($J55),MOD($J55,1)=0,$J55&gt;=1,$J55&lt;=5,ISNUMBER($L55),MOD($L55,1)=0,$L55&gt;=1,$L55&lt;=5,ISNUMBER($N55),$N55&gt;=0,$O55="",$P55&lt;&gt;"",$Q55&lt;&gt;"",$R55="runner_monotonic_complete"),"ScorableComplete",IF(AND($A55&lt;&gt;"",$B55&lt;&gt;"",$C55&lt;&gt;"",$D55&lt;&gt;"",$E55&lt;&gt;"",$F55&lt;&gt;"",ISNUMBER($G55),$G55&gt;=1,OR($O55="insufficient_source_evidence",$O55="operational_failure"),$H55="",$J55="",$L55="",$N55="",$Q55&lt;&gt;"",$R55="runner_monotonic_not_scorable"),"NotScorable","Partial")))</x:f>
        <x:v>Pending</x:v>
      </x:c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50"/>
      <x:c r="O56" s="44"/>
      <x:c r="P56" s="53"/>
      <x:c r="Q56" s="53"/>
      <x:c r="R56" s="44"/>
      <x:c r="S56" s="47" t="str">
        <x:f>IF(COUNTA($H56:$R56)=0,"Pending",IF(AND($A56&lt;&gt;"",$B56&lt;&gt;"",$C56&lt;&gt;"",$D56&lt;&gt;"",$E56&lt;&gt;"",$F56&lt;&gt;"",ISNUMBER($G56),$G56&gt;=1,ISNUMBER($H56),MOD($H56,1)=0,$H56&gt;=1,$H56&lt;=5,ISNUMBER($J56),MOD($J56,1)=0,$J56&gt;=1,$J56&lt;=5,ISNUMBER($L56),MOD($L56,1)=0,$L56&gt;=1,$L56&lt;=5,ISNUMBER($N56),$N56&gt;=0,$O56="",$P56&lt;&gt;"",$Q56&lt;&gt;"",$R56="runner_monotonic_complete"),"ScorableComplete",IF(AND($A56&lt;&gt;"",$B56&lt;&gt;"",$C56&lt;&gt;"",$D56&lt;&gt;"",$E56&lt;&gt;"",$F56&lt;&gt;"",ISNUMBER($G56),$G56&gt;=1,OR($O56="insufficient_source_evidence",$O56="operational_failure"),$H56="",$J56="",$L56="",$N56="",$Q56&lt;&gt;"",$R56="runner_monotonic_not_scorable"),"NotScorable","Partial")))</x:f>
        <x:v>Pending</x:v>
      </x:c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50"/>
      <x:c r="O57" s="44"/>
      <x:c r="P57" s="53"/>
      <x:c r="Q57" s="53"/>
      <x:c r="R57" s="44"/>
      <x:c r="S57" s="47" t="str">
        <x:f>IF(COUNTA($H57:$R57)=0,"Pending",IF(AND($A57&lt;&gt;"",$B57&lt;&gt;"",$C57&lt;&gt;"",$D57&lt;&gt;"",$E57&lt;&gt;"",$F57&lt;&gt;"",ISNUMBER($G57),$G57&gt;=1,ISNUMBER($H57),MOD($H57,1)=0,$H57&gt;=1,$H57&lt;=5,ISNUMBER($J57),MOD($J57,1)=0,$J57&gt;=1,$J57&lt;=5,ISNUMBER($L57),MOD($L57,1)=0,$L57&gt;=1,$L57&lt;=5,ISNUMBER($N57),$N57&gt;=0,$O57="",$P57&lt;&gt;"",$Q57&lt;&gt;"",$R57="runner_monotonic_complete"),"ScorableComplete",IF(AND($A57&lt;&gt;"",$B57&lt;&gt;"",$C57&lt;&gt;"",$D57&lt;&gt;"",$E57&lt;&gt;"",$F57&lt;&gt;"",ISNUMBER($G57),$G57&gt;=1,OR($O57="insufficient_source_evidence",$O57="operational_failure"),$H57="",$J57="",$L57="",$N57="",$Q57&lt;&gt;"",$R57="runner_monotonic_not_scorable"),"NotScorable","Partial")))</x:f>
        <x:v>Pending</x:v>
      </x:c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50"/>
      <x:c r="O58" s="44"/>
      <x:c r="P58" s="53"/>
      <x:c r="Q58" s="53"/>
      <x:c r="R58" s="44"/>
      <x:c r="S58" s="47" t="str">
        <x:f>IF(COUNTA($H58:$R58)=0,"Pending",IF(AND($A58&lt;&gt;"",$B58&lt;&gt;"",$C58&lt;&gt;"",$D58&lt;&gt;"",$E58&lt;&gt;"",$F58&lt;&gt;"",ISNUMBER($G58),$G58&gt;=1,ISNUMBER($H58),MOD($H58,1)=0,$H58&gt;=1,$H58&lt;=5,ISNUMBER($J58),MOD($J58,1)=0,$J58&gt;=1,$J58&lt;=5,ISNUMBER($L58),MOD($L58,1)=0,$L58&gt;=1,$L58&lt;=5,ISNUMBER($N58),$N58&gt;=0,$O58="",$P58&lt;&gt;"",$Q58&lt;&gt;"",$R58="runner_monotonic_complete"),"ScorableComplete",IF(AND($A58&lt;&gt;"",$B58&lt;&gt;"",$C58&lt;&gt;"",$D58&lt;&gt;"",$E58&lt;&gt;"",$F58&lt;&gt;"",ISNUMBER($G58),$G58&gt;=1,OR($O58="insufficient_source_evidence",$O58="operational_failure"),$H58="",$J58="",$L58="",$N58="",$Q58&lt;&gt;"",$R58="runner_monotonic_not_scorable"),"NotScorable","Partial")))</x:f>
        <x:v>Pending</x:v>
      </x:c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50"/>
      <x:c r="O59" s="44"/>
      <x:c r="P59" s="53"/>
      <x:c r="Q59" s="53"/>
      <x:c r="R59" s="44"/>
      <x:c r="S59" s="47" t="str">
        <x:f>IF(COUNTA($H59:$R59)=0,"Pending",IF(AND($A59&lt;&gt;"",$B59&lt;&gt;"",$C59&lt;&gt;"",$D59&lt;&gt;"",$E59&lt;&gt;"",$F59&lt;&gt;"",ISNUMBER($G59),$G59&gt;=1,ISNUMBER($H59),MOD($H59,1)=0,$H59&gt;=1,$H59&lt;=5,ISNUMBER($J59),MOD($J59,1)=0,$J59&gt;=1,$J59&lt;=5,ISNUMBER($L59),MOD($L59,1)=0,$L59&gt;=1,$L59&lt;=5,ISNUMBER($N59),$N59&gt;=0,$O59="",$P59&lt;&gt;"",$Q59&lt;&gt;"",$R59="runner_monotonic_complete"),"ScorableComplete",IF(AND($A59&lt;&gt;"",$B59&lt;&gt;"",$C59&lt;&gt;"",$D59&lt;&gt;"",$E59&lt;&gt;"",$F59&lt;&gt;"",ISNUMBER($G59),$G59&gt;=1,OR($O59="insufficient_source_evidence",$O59="operational_failure"),$H59="",$J59="",$L59="",$N59="",$Q59&lt;&gt;"",$R59="runner_monotonic_not_scorable"),"NotScorable","Partial")))</x:f>
        <x:v>Pending</x:v>
      </x:c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50"/>
      <x:c r="O60" s="44"/>
      <x:c r="P60" s="53"/>
      <x:c r="Q60" s="53"/>
      <x:c r="R60" s="44"/>
      <x:c r="S60" s="47" t="str">
        <x:f>IF(COUNTA($H60:$R60)=0,"Pending",IF(AND($A60&lt;&gt;"",$B60&lt;&gt;"",$C60&lt;&gt;"",$D60&lt;&gt;"",$E60&lt;&gt;"",$F60&lt;&gt;"",ISNUMBER($G60),$G60&gt;=1,ISNUMBER($H60),MOD($H60,1)=0,$H60&gt;=1,$H60&lt;=5,ISNUMBER($J60),MOD($J60,1)=0,$J60&gt;=1,$J60&lt;=5,ISNUMBER($L60),MOD($L60,1)=0,$L60&gt;=1,$L60&lt;=5,ISNUMBER($N60),$N60&gt;=0,$O60="",$P60&lt;&gt;"",$Q60&lt;&gt;"",$R60="runner_monotonic_complete"),"ScorableComplete",IF(AND($A60&lt;&gt;"",$B60&lt;&gt;"",$C60&lt;&gt;"",$D60&lt;&gt;"",$E60&lt;&gt;"",$F60&lt;&gt;"",ISNUMBER($G60),$G60&gt;=1,OR($O60="insufficient_source_evidence",$O60="operational_failure"),$H60="",$J60="",$L60="",$N60="",$Q60&lt;&gt;"",$R60="runner_monotonic_not_scorable"),"NotScorable","Partial")))</x:f>
        <x:v>Pending</x:v>
      </x:c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50"/>
      <x:c r="O61" s="44"/>
      <x:c r="P61" s="53"/>
      <x:c r="Q61" s="53"/>
      <x:c r="R61" s="44"/>
      <x:c r="S61" s="47" t="str">
        <x:f>IF(COUNTA($H61:$R61)=0,"Pending",IF(AND($A61&lt;&gt;"",$B61&lt;&gt;"",$C61&lt;&gt;"",$D61&lt;&gt;"",$E61&lt;&gt;"",$F61&lt;&gt;"",ISNUMBER($G61),$G61&gt;=1,ISNUMBER($H61),MOD($H61,1)=0,$H61&gt;=1,$H61&lt;=5,ISNUMBER($J61),MOD($J61,1)=0,$J61&gt;=1,$J61&lt;=5,ISNUMBER($L61),MOD($L61,1)=0,$L61&gt;=1,$L61&lt;=5,ISNUMBER($N61),$N61&gt;=0,$O61="",$P61&lt;&gt;"",$Q61&lt;&gt;"",$R61="runner_monotonic_complete"),"ScorableComplete",IF(AND($A61&lt;&gt;"",$B61&lt;&gt;"",$C61&lt;&gt;"",$D61&lt;&gt;"",$E61&lt;&gt;"",$F61&lt;&gt;"",ISNUMBER($G61),$G61&gt;=1,OR($O61="insufficient_source_evidence",$O61="operational_failure"),$H61="",$J61="",$L61="",$N61="",$Q61&lt;&gt;"",$R61="runner_monotonic_not_scorable"),"NotScorable","Partial")))</x:f>
        <x:v>Pending</x:v>
      </x:c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50"/>
      <x:c r="O62" s="44"/>
      <x:c r="P62" s="53"/>
      <x:c r="Q62" s="53"/>
      <x:c r="R62" s="44"/>
      <x:c r="S62" s="47" t="str">
        <x:f>IF(COUNTA($H62:$R62)=0,"Pending",IF(AND($A62&lt;&gt;"",$B62&lt;&gt;"",$C62&lt;&gt;"",$D62&lt;&gt;"",$E62&lt;&gt;"",$F62&lt;&gt;"",ISNUMBER($G62),$G62&gt;=1,ISNUMBER($H62),MOD($H62,1)=0,$H62&gt;=1,$H62&lt;=5,ISNUMBER($J62),MOD($J62,1)=0,$J62&gt;=1,$J62&lt;=5,ISNUMBER($L62),MOD($L62,1)=0,$L62&gt;=1,$L62&lt;=5,ISNUMBER($N62),$N62&gt;=0,$O62="",$P62&lt;&gt;"",$Q62&lt;&gt;"",$R62="runner_monotonic_complete"),"ScorableComplete",IF(AND($A62&lt;&gt;"",$B62&lt;&gt;"",$C62&lt;&gt;"",$D62&lt;&gt;"",$E62&lt;&gt;"",$F62&lt;&gt;"",ISNUMBER($G62),$G62&gt;=1,OR($O62="insufficient_source_evidence",$O62="operational_failure"),$H62="",$J62="",$L62="",$N62="",$Q62&lt;&gt;"",$R62="runner_monotonic_not_scorable"),"NotScorable","Partial")))</x:f>
        <x:v>Pending</x:v>
      </x:c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50"/>
      <x:c r="O63" s="44"/>
      <x:c r="P63" s="53"/>
      <x:c r="Q63" s="53"/>
      <x:c r="R63" s="44"/>
      <x:c r="S63" s="47" t="str">
        <x:f>IF(COUNTA($H63:$R63)=0,"Pending",IF(AND($A63&lt;&gt;"",$B63&lt;&gt;"",$C63&lt;&gt;"",$D63&lt;&gt;"",$E63&lt;&gt;"",$F63&lt;&gt;"",ISNUMBER($G63),$G63&gt;=1,ISNUMBER($H63),MOD($H63,1)=0,$H63&gt;=1,$H63&lt;=5,ISNUMBER($J63),MOD($J63,1)=0,$J63&gt;=1,$J63&lt;=5,ISNUMBER($L63),MOD($L63,1)=0,$L63&gt;=1,$L63&lt;=5,ISNUMBER($N63),$N63&gt;=0,$O63="",$P63&lt;&gt;"",$Q63&lt;&gt;"",$R63="runner_monotonic_complete"),"ScorableComplete",IF(AND($A63&lt;&gt;"",$B63&lt;&gt;"",$C63&lt;&gt;"",$D63&lt;&gt;"",$E63&lt;&gt;"",$F63&lt;&gt;"",ISNUMBER($G63),$G63&gt;=1,OR($O63="insufficient_source_evidence",$O63="operational_failure"),$H63="",$J63="",$L63="",$N63="",$Q63&lt;&gt;"",$R63="runner_monotonic_not_scorable"),"NotScorable","Partial")))</x:f>
        <x:v>Pending</x:v>
      </x:c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50"/>
      <x:c r="O64" s="44"/>
      <x:c r="P64" s="53"/>
      <x:c r="Q64" s="53"/>
      <x:c r="R64" s="44"/>
      <x:c r="S64" s="47" t="str">
        <x:f>IF(COUNTA($H64:$R64)=0,"Pending",IF(AND($A64&lt;&gt;"",$B64&lt;&gt;"",$C64&lt;&gt;"",$D64&lt;&gt;"",$E64&lt;&gt;"",$F64&lt;&gt;"",ISNUMBER($G64),$G64&gt;=1,ISNUMBER($H64),MOD($H64,1)=0,$H64&gt;=1,$H64&lt;=5,ISNUMBER($J64),MOD($J64,1)=0,$J64&gt;=1,$J64&lt;=5,ISNUMBER($L64),MOD($L64,1)=0,$L64&gt;=1,$L64&lt;=5,ISNUMBER($N64),$N64&gt;=0,$O64="",$P64&lt;&gt;"",$Q64&lt;&gt;"",$R64="runner_monotonic_complete"),"ScorableComplete",IF(AND($A64&lt;&gt;"",$B64&lt;&gt;"",$C64&lt;&gt;"",$D64&lt;&gt;"",$E64&lt;&gt;"",$F64&lt;&gt;"",ISNUMBER($G64),$G64&gt;=1,OR($O64="insufficient_source_evidence",$O64="operational_failure"),$H64="",$J64="",$L64="",$N64="",$Q64&lt;&gt;"",$R64="runner_monotonic_not_scorable"),"NotScorable","Partial")))</x:f>
        <x:v>Pending</x:v>
      </x:c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50"/>
      <x:c r="O65" s="44"/>
      <x:c r="P65" s="53"/>
      <x:c r="Q65" s="53"/>
      <x:c r="R65" s="44"/>
      <x:c r="S65" s="47" t="str">
        <x:f>IF(COUNTA($H65:$R65)=0,"Pending",IF(AND($A65&lt;&gt;"",$B65&lt;&gt;"",$C65&lt;&gt;"",$D65&lt;&gt;"",$E65&lt;&gt;"",$F65&lt;&gt;"",ISNUMBER($G65),$G65&gt;=1,ISNUMBER($H65),MOD($H65,1)=0,$H65&gt;=1,$H65&lt;=5,ISNUMBER($J65),MOD($J65,1)=0,$J65&gt;=1,$J65&lt;=5,ISNUMBER($L65),MOD($L65,1)=0,$L65&gt;=1,$L65&lt;=5,ISNUMBER($N65),$N65&gt;=0,$O65="",$P65&lt;&gt;"",$Q65&lt;&gt;"",$R65="runner_monotonic_complete"),"ScorableComplete",IF(AND($A65&lt;&gt;"",$B65&lt;&gt;"",$C65&lt;&gt;"",$D65&lt;&gt;"",$E65&lt;&gt;"",$F65&lt;&gt;"",ISNUMBER($G65),$G65&gt;=1,OR($O65="insufficient_source_evidence",$O65="operational_failure"),$H65="",$J65="",$L65="",$N65="",$Q65&lt;&gt;"",$R65="runner_monotonic_not_scorable"),"NotScorable","Partial")))</x:f>
        <x:v>Pending</x:v>
      </x:c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50"/>
      <x:c r="O66" s="44"/>
      <x:c r="P66" s="53"/>
      <x:c r="Q66" s="53"/>
      <x:c r="R66" s="44"/>
      <x:c r="S66" s="47" t="str">
        <x:f>IF(COUNTA($H66:$R66)=0,"Pending",IF(AND($A66&lt;&gt;"",$B66&lt;&gt;"",$C66&lt;&gt;"",$D66&lt;&gt;"",$E66&lt;&gt;"",$F66&lt;&gt;"",ISNUMBER($G66),$G66&gt;=1,ISNUMBER($H66),MOD($H66,1)=0,$H66&gt;=1,$H66&lt;=5,ISNUMBER($J66),MOD($J66,1)=0,$J66&gt;=1,$J66&lt;=5,ISNUMBER($L66),MOD($L66,1)=0,$L66&gt;=1,$L66&lt;=5,ISNUMBER($N66),$N66&gt;=0,$O66="",$P66&lt;&gt;"",$Q66&lt;&gt;"",$R66="runner_monotonic_complete"),"ScorableComplete",IF(AND($A66&lt;&gt;"",$B66&lt;&gt;"",$C66&lt;&gt;"",$D66&lt;&gt;"",$E66&lt;&gt;"",$F66&lt;&gt;"",ISNUMBER($G66),$G66&gt;=1,OR($O66="insufficient_source_evidence",$O66="operational_failure"),$H66="",$J66="",$L66="",$N66="",$Q66&lt;&gt;"",$R66="runner_monotonic_not_scorable"),"NotScorable","Partial")))</x:f>
        <x:v>Pending</x:v>
      </x:c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50"/>
      <x:c r="O67" s="44"/>
      <x:c r="P67" s="53"/>
      <x:c r="Q67" s="53"/>
      <x:c r="R67" s="44"/>
      <x:c r="S67" s="47" t="str">
        <x:f>IF(COUNTA($H67:$R67)=0,"Pending",IF(AND($A67&lt;&gt;"",$B67&lt;&gt;"",$C67&lt;&gt;"",$D67&lt;&gt;"",$E67&lt;&gt;"",$F67&lt;&gt;"",ISNUMBER($G67),$G67&gt;=1,ISNUMBER($H67),MOD($H67,1)=0,$H67&gt;=1,$H67&lt;=5,ISNUMBER($J67),MOD($J67,1)=0,$J67&gt;=1,$J67&lt;=5,ISNUMBER($L67),MOD($L67,1)=0,$L67&gt;=1,$L67&lt;=5,ISNUMBER($N67),$N67&gt;=0,$O67="",$P67&lt;&gt;"",$Q67&lt;&gt;"",$R67="runner_monotonic_complete"),"ScorableComplete",IF(AND($A67&lt;&gt;"",$B67&lt;&gt;"",$C67&lt;&gt;"",$D67&lt;&gt;"",$E67&lt;&gt;"",$F67&lt;&gt;"",ISNUMBER($G67),$G67&gt;=1,OR($O67="insufficient_source_evidence",$O67="operational_failure"),$H67="",$J67="",$L67="",$N67="",$Q67&lt;&gt;"",$R67="runner_monotonic_not_scorable"),"NotScorable","Partial")))</x:f>
        <x:v>Pending</x:v>
      </x:c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50"/>
      <x:c r="O68" s="44"/>
      <x:c r="P68" s="53"/>
      <x:c r="Q68" s="53"/>
      <x:c r="R68" s="44"/>
      <x:c r="S68" s="47" t="str">
        <x:f>IF(COUNTA($H68:$R68)=0,"Pending",IF(AND($A68&lt;&gt;"",$B68&lt;&gt;"",$C68&lt;&gt;"",$D68&lt;&gt;"",$E68&lt;&gt;"",$F68&lt;&gt;"",ISNUMBER($G68),$G68&gt;=1,ISNUMBER($H68),MOD($H68,1)=0,$H68&gt;=1,$H68&lt;=5,ISNUMBER($J68),MOD($J68,1)=0,$J68&gt;=1,$J68&lt;=5,ISNUMBER($L68),MOD($L68,1)=0,$L68&gt;=1,$L68&lt;=5,ISNUMBER($N68),$N68&gt;=0,$O68="",$P68&lt;&gt;"",$Q68&lt;&gt;"",$R68="runner_monotonic_complete"),"ScorableComplete",IF(AND($A68&lt;&gt;"",$B68&lt;&gt;"",$C68&lt;&gt;"",$D68&lt;&gt;"",$E68&lt;&gt;"",$F68&lt;&gt;"",ISNUMBER($G68),$G68&gt;=1,OR($O68="insufficient_source_evidence",$O68="operational_failure"),$H68="",$J68="",$L68="",$N68="",$Q68&lt;&gt;"",$R68="runner_monotonic_not_scorable"),"NotScorable","Partial")))</x:f>
        <x:v>Pending</x:v>
      </x:c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50"/>
      <x:c r="O69" s="44"/>
      <x:c r="P69" s="53"/>
      <x:c r="Q69" s="53"/>
      <x:c r="R69" s="44"/>
      <x:c r="S69" s="47" t="str">
        <x:f>IF(COUNTA($H69:$R69)=0,"Pending",IF(AND($A69&lt;&gt;"",$B69&lt;&gt;"",$C69&lt;&gt;"",$D69&lt;&gt;"",$E69&lt;&gt;"",$F69&lt;&gt;"",ISNUMBER($G69),$G69&gt;=1,ISNUMBER($H69),MOD($H69,1)=0,$H69&gt;=1,$H69&lt;=5,ISNUMBER($J69),MOD($J69,1)=0,$J69&gt;=1,$J69&lt;=5,ISNUMBER($L69),MOD($L69,1)=0,$L69&gt;=1,$L69&lt;=5,ISNUMBER($N69),$N69&gt;=0,$O69="",$P69&lt;&gt;"",$Q69&lt;&gt;"",$R69="runner_monotonic_complete"),"ScorableComplete",IF(AND($A69&lt;&gt;"",$B69&lt;&gt;"",$C69&lt;&gt;"",$D69&lt;&gt;"",$E69&lt;&gt;"",$F69&lt;&gt;"",ISNUMBER($G69),$G69&gt;=1,OR($O69="insufficient_source_evidence",$O69="operational_failure"),$H69="",$J69="",$L69="",$N69="",$Q69&lt;&gt;"",$R69="runner_monotonic_not_scorable"),"NotScorable","Partial")))</x:f>
        <x:v>Pending</x:v>
      </x:c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50"/>
      <x:c r="O70" s="44"/>
      <x:c r="P70" s="53"/>
      <x:c r="Q70" s="53"/>
      <x:c r="R70" s="44"/>
      <x:c r="S70" s="47" t="str">
        <x:f>IF(COUNTA($H70:$R70)=0,"Pending",IF(AND($A70&lt;&gt;"",$B70&lt;&gt;"",$C70&lt;&gt;"",$D70&lt;&gt;"",$E70&lt;&gt;"",$F70&lt;&gt;"",ISNUMBER($G70),$G70&gt;=1,ISNUMBER($H70),MOD($H70,1)=0,$H70&gt;=1,$H70&lt;=5,ISNUMBER($J70),MOD($J70,1)=0,$J70&gt;=1,$J70&lt;=5,ISNUMBER($L70),MOD($L70,1)=0,$L70&gt;=1,$L70&lt;=5,ISNUMBER($N70),$N70&gt;=0,$O70="",$P70&lt;&gt;"",$Q70&lt;&gt;"",$R70="runner_monotonic_complete"),"ScorableComplete",IF(AND($A70&lt;&gt;"",$B70&lt;&gt;"",$C70&lt;&gt;"",$D70&lt;&gt;"",$E70&lt;&gt;"",$F70&lt;&gt;"",ISNUMBER($G70),$G70&gt;=1,OR($O70="insufficient_source_evidence",$O70="operational_failure"),$H70="",$J70="",$L70="",$N70="",$Q70&lt;&gt;"",$R70="runner_monotonic_not_scorable"),"NotScorable","Partial")))</x:f>
        <x:v>Pending</x:v>
      </x:c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50"/>
      <x:c r="O71" s="44"/>
      <x:c r="P71" s="53"/>
      <x:c r="Q71" s="53"/>
      <x:c r="R71" s="44"/>
      <x:c r="S71" s="47" t="str">
        <x:f>IF(COUNTA($H71:$R71)=0,"Pending",IF(AND($A71&lt;&gt;"",$B71&lt;&gt;"",$C71&lt;&gt;"",$D71&lt;&gt;"",$E71&lt;&gt;"",$F71&lt;&gt;"",ISNUMBER($G71),$G71&gt;=1,ISNUMBER($H71),MOD($H71,1)=0,$H71&gt;=1,$H71&lt;=5,ISNUMBER($J71),MOD($J71,1)=0,$J71&gt;=1,$J71&lt;=5,ISNUMBER($L71),MOD($L71,1)=0,$L71&gt;=1,$L71&lt;=5,ISNUMBER($N71),$N71&gt;=0,$O71="",$P71&lt;&gt;"",$Q71&lt;&gt;"",$R71="runner_monotonic_complete"),"ScorableComplete",IF(AND($A71&lt;&gt;"",$B71&lt;&gt;"",$C71&lt;&gt;"",$D71&lt;&gt;"",$E71&lt;&gt;"",$F71&lt;&gt;"",ISNUMBER($G71),$G71&gt;=1,OR($O71="insufficient_source_evidence",$O71="operational_failure"),$H71="",$J71="",$L71="",$N71="",$Q71&lt;&gt;"",$R71="runner_monotonic_not_scorable"),"NotScorable","Partial")))</x:f>
        <x:v>Pending</x:v>
      </x:c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50"/>
      <x:c r="O72" s="44"/>
      <x:c r="P72" s="53"/>
      <x:c r="Q72" s="53"/>
      <x:c r="R72" s="44"/>
      <x:c r="S72" s="47" t="str">
        <x:f>IF(COUNTA($H72:$R72)=0,"Pending",IF(AND($A72&lt;&gt;"",$B72&lt;&gt;"",$C72&lt;&gt;"",$D72&lt;&gt;"",$E72&lt;&gt;"",$F72&lt;&gt;"",ISNUMBER($G72),$G72&gt;=1,ISNUMBER($H72),MOD($H72,1)=0,$H72&gt;=1,$H72&lt;=5,ISNUMBER($J72),MOD($J72,1)=0,$J72&gt;=1,$J72&lt;=5,ISNUMBER($L72),MOD($L72,1)=0,$L72&gt;=1,$L72&lt;=5,ISNUMBER($N72),$N72&gt;=0,$O72="",$P72&lt;&gt;"",$Q72&lt;&gt;"",$R72="runner_monotonic_complete"),"ScorableComplete",IF(AND($A72&lt;&gt;"",$B72&lt;&gt;"",$C72&lt;&gt;"",$D72&lt;&gt;"",$E72&lt;&gt;"",$F72&lt;&gt;"",ISNUMBER($G72),$G72&gt;=1,OR($O72="insufficient_source_evidence",$O72="operational_failure"),$H72="",$J72="",$L72="",$N72="",$Q72&lt;&gt;"",$R72="runner_monotonic_not_scorable"),"NotScorable","Partial")))</x:f>
        <x:v>Pending</x:v>
      </x:c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50"/>
      <x:c r="O73" s="44"/>
      <x:c r="P73" s="53"/>
      <x:c r="Q73" s="53"/>
      <x:c r="R73" s="44"/>
      <x:c r="S73" s="47" t="str">
        <x:f>IF(COUNTA($H73:$R73)=0,"Pending",IF(AND($A73&lt;&gt;"",$B73&lt;&gt;"",$C73&lt;&gt;"",$D73&lt;&gt;"",$E73&lt;&gt;"",$F73&lt;&gt;"",ISNUMBER($G73),$G73&gt;=1,ISNUMBER($H73),MOD($H73,1)=0,$H73&gt;=1,$H73&lt;=5,ISNUMBER($J73),MOD($J73,1)=0,$J73&gt;=1,$J73&lt;=5,ISNUMBER($L73),MOD($L73,1)=0,$L73&gt;=1,$L73&lt;=5,ISNUMBER($N73),$N73&gt;=0,$O73="",$P73&lt;&gt;"",$Q73&lt;&gt;"",$R73="runner_monotonic_complete"),"ScorableComplete",IF(AND($A73&lt;&gt;"",$B73&lt;&gt;"",$C73&lt;&gt;"",$D73&lt;&gt;"",$E73&lt;&gt;"",$F73&lt;&gt;"",ISNUMBER($G73),$G73&gt;=1,OR($O73="insufficient_source_evidence",$O73="operational_failure"),$H73="",$J73="",$L73="",$N73="",$Q73&lt;&gt;"",$R73="runner_monotonic_not_scorable"),"NotScorable","Partial")))</x:f>
        <x:v>Pending</x:v>
      </x:c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50"/>
      <x:c r="O74" s="44"/>
      <x:c r="P74" s="53"/>
      <x:c r="Q74" s="53"/>
      <x:c r="R74" s="44"/>
      <x:c r="S74" s="47" t="str">
        <x:f>IF(COUNTA($H74:$R74)=0,"Pending",IF(AND($A74&lt;&gt;"",$B74&lt;&gt;"",$C74&lt;&gt;"",$D74&lt;&gt;"",$E74&lt;&gt;"",$F74&lt;&gt;"",ISNUMBER($G74),$G74&gt;=1,ISNUMBER($H74),MOD($H74,1)=0,$H74&gt;=1,$H74&lt;=5,ISNUMBER($J74),MOD($J74,1)=0,$J74&gt;=1,$J74&lt;=5,ISNUMBER($L74),MOD($L74,1)=0,$L74&gt;=1,$L74&lt;=5,ISNUMBER($N74),$N74&gt;=0,$O74="",$P74&lt;&gt;"",$Q74&lt;&gt;"",$R74="runner_monotonic_complete"),"ScorableComplete",IF(AND($A74&lt;&gt;"",$B74&lt;&gt;"",$C74&lt;&gt;"",$D74&lt;&gt;"",$E74&lt;&gt;"",$F74&lt;&gt;"",ISNUMBER($G74),$G74&gt;=1,OR($O74="insufficient_source_evidence",$O74="operational_failure"),$H74="",$J74="",$L74="",$N74="",$Q74&lt;&gt;"",$R74="runner_monotonic_not_scorable"),"NotScorable","Partial")))</x:f>
        <x:v>Pending</x:v>
      </x:c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50"/>
      <x:c r="O75" s="44"/>
      <x:c r="P75" s="53"/>
      <x:c r="Q75" s="53"/>
      <x:c r="R75" s="44"/>
      <x:c r="S75" s="47" t="str">
        <x:f>IF(COUNTA($H75:$R75)=0,"Pending",IF(AND($A75&lt;&gt;"",$B75&lt;&gt;"",$C75&lt;&gt;"",$D75&lt;&gt;"",$E75&lt;&gt;"",$F75&lt;&gt;"",ISNUMBER($G75),$G75&gt;=1,ISNUMBER($H75),MOD($H75,1)=0,$H75&gt;=1,$H75&lt;=5,ISNUMBER($J75),MOD($J75,1)=0,$J75&gt;=1,$J75&lt;=5,ISNUMBER($L75),MOD($L75,1)=0,$L75&gt;=1,$L75&lt;=5,ISNUMBER($N75),$N75&gt;=0,$O75="",$P75&lt;&gt;"",$Q75&lt;&gt;"",$R75="runner_monotonic_complete"),"ScorableComplete",IF(AND($A75&lt;&gt;"",$B75&lt;&gt;"",$C75&lt;&gt;"",$D75&lt;&gt;"",$E75&lt;&gt;"",$F75&lt;&gt;"",ISNUMBER($G75),$G75&gt;=1,OR($O75="insufficient_source_evidence",$O75="operational_failure"),$H75="",$J75="",$L75="",$N75="",$Q75&lt;&gt;"",$R75="runner_monotonic_not_scorable"),"NotScorable","Partial")))</x:f>
        <x:v>Pending</x:v>
      </x:c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50"/>
      <x:c r="O76" s="44"/>
      <x:c r="P76" s="53"/>
      <x:c r="Q76" s="53"/>
      <x:c r="R76" s="44"/>
      <x:c r="S76" s="47" t="str">
        <x:f>IF(COUNTA($H76:$R76)=0,"Pending",IF(AND($A76&lt;&gt;"",$B76&lt;&gt;"",$C76&lt;&gt;"",$D76&lt;&gt;"",$E76&lt;&gt;"",$F76&lt;&gt;"",ISNUMBER($G76),$G76&gt;=1,ISNUMBER($H76),MOD($H76,1)=0,$H76&gt;=1,$H76&lt;=5,ISNUMBER($J76),MOD($J76,1)=0,$J76&gt;=1,$J76&lt;=5,ISNUMBER($L76),MOD($L76,1)=0,$L76&gt;=1,$L76&lt;=5,ISNUMBER($N76),$N76&gt;=0,$O76="",$P76&lt;&gt;"",$Q76&lt;&gt;"",$R76="runner_monotonic_complete"),"ScorableComplete",IF(AND($A76&lt;&gt;"",$B76&lt;&gt;"",$C76&lt;&gt;"",$D76&lt;&gt;"",$E76&lt;&gt;"",$F76&lt;&gt;"",ISNUMBER($G76),$G76&gt;=1,OR($O76="insufficient_source_evidence",$O76="operational_failure"),$H76="",$J76="",$L76="",$N76="",$Q76&lt;&gt;"",$R76="runner_monotonic_not_scorable"),"NotScorable","Partial")))</x:f>
        <x:v>Pending</x:v>
      </x:c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50"/>
      <x:c r="O77" s="44"/>
      <x:c r="P77" s="53"/>
      <x:c r="Q77" s="53"/>
      <x:c r="R77" s="44"/>
      <x:c r="S77" s="47" t="str">
        <x:f>IF(COUNTA($H77:$R77)=0,"Pending",IF(AND($A77&lt;&gt;"",$B77&lt;&gt;"",$C77&lt;&gt;"",$D77&lt;&gt;"",$E77&lt;&gt;"",$F77&lt;&gt;"",ISNUMBER($G77),$G77&gt;=1,ISNUMBER($H77),MOD($H77,1)=0,$H77&gt;=1,$H77&lt;=5,ISNUMBER($J77),MOD($J77,1)=0,$J77&gt;=1,$J77&lt;=5,ISNUMBER($L77),MOD($L77,1)=0,$L77&gt;=1,$L77&lt;=5,ISNUMBER($N77),$N77&gt;=0,$O77="",$P77&lt;&gt;"",$Q77&lt;&gt;"",$R77="runner_monotonic_complete"),"ScorableComplete",IF(AND($A77&lt;&gt;"",$B77&lt;&gt;"",$C77&lt;&gt;"",$D77&lt;&gt;"",$E77&lt;&gt;"",$F77&lt;&gt;"",ISNUMBER($G77),$G77&gt;=1,OR($O77="insufficient_source_evidence",$O77="operational_failure"),$H77="",$J77="",$L77="",$N77="",$Q77&lt;&gt;"",$R77="runner_monotonic_not_scorable"),"NotScorable","Partial")))</x:f>
        <x:v>Pending</x:v>
      </x:c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50"/>
      <x:c r="O78" s="44"/>
      <x:c r="P78" s="53"/>
      <x:c r="Q78" s="53"/>
      <x:c r="R78" s="44"/>
      <x:c r="S78" s="47" t="str">
        <x:f>IF(COUNTA($H78:$R78)=0,"Pending",IF(AND($A78&lt;&gt;"",$B78&lt;&gt;"",$C78&lt;&gt;"",$D78&lt;&gt;"",$E78&lt;&gt;"",$F78&lt;&gt;"",ISNUMBER($G78),$G78&gt;=1,ISNUMBER($H78),MOD($H78,1)=0,$H78&gt;=1,$H78&lt;=5,ISNUMBER($J78),MOD($J78,1)=0,$J78&gt;=1,$J78&lt;=5,ISNUMBER($L78),MOD($L78,1)=0,$L78&gt;=1,$L78&lt;=5,ISNUMBER($N78),$N78&gt;=0,$O78="",$P78&lt;&gt;"",$Q78&lt;&gt;"",$R78="runner_monotonic_complete"),"ScorableComplete",IF(AND($A78&lt;&gt;"",$B78&lt;&gt;"",$C78&lt;&gt;"",$D78&lt;&gt;"",$E78&lt;&gt;"",$F78&lt;&gt;"",ISNUMBER($G78),$G78&gt;=1,OR($O78="insufficient_source_evidence",$O78="operational_failure"),$H78="",$J78="",$L78="",$N78="",$Q78&lt;&gt;"",$R78="runner_monotonic_not_scorable"),"NotScorable","Partial")))</x:f>
        <x:v>Pending</x:v>
      </x:c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50"/>
      <x:c r="O79" s="44"/>
      <x:c r="P79" s="53"/>
      <x:c r="Q79" s="53"/>
      <x:c r="R79" s="44"/>
      <x:c r="S79" s="47" t="str">
        <x:f>IF(COUNTA($H79:$R79)=0,"Pending",IF(AND($A79&lt;&gt;"",$B79&lt;&gt;"",$C79&lt;&gt;"",$D79&lt;&gt;"",$E79&lt;&gt;"",$F79&lt;&gt;"",ISNUMBER($G79),$G79&gt;=1,ISNUMBER($H79),MOD($H79,1)=0,$H79&gt;=1,$H79&lt;=5,ISNUMBER($J79),MOD($J79,1)=0,$J79&gt;=1,$J79&lt;=5,ISNUMBER($L79),MOD($L79,1)=0,$L79&gt;=1,$L79&lt;=5,ISNUMBER($N79),$N79&gt;=0,$O79="",$P79&lt;&gt;"",$Q79&lt;&gt;"",$R79="runner_monotonic_complete"),"ScorableComplete",IF(AND($A79&lt;&gt;"",$B79&lt;&gt;"",$C79&lt;&gt;"",$D79&lt;&gt;"",$E79&lt;&gt;"",$F79&lt;&gt;"",ISNUMBER($G79),$G79&gt;=1,OR($O79="insufficient_source_evidence",$O79="operational_failure"),$H79="",$J79="",$L79="",$N79="",$Q79&lt;&gt;"",$R79="runner_monotonic_not_scorable"),"NotScorable","Partial")))</x:f>
        <x:v>Pending</x:v>
      </x:c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50"/>
      <x:c r="O80" s="44"/>
      <x:c r="P80" s="53"/>
      <x:c r="Q80" s="53"/>
      <x:c r="R80" s="44"/>
      <x:c r="S80" s="47" t="str">
        <x:f>IF(COUNTA($H80:$R80)=0,"Pending",IF(AND($A80&lt;&gt;"",$B80&lt;&gt;"",$C80&lt;&gt;"",$D80&lt;&gt;"",$E80&lt;&gt;"",$F80&lt;&gt;"",ISNUMBER($G80),$G80&gt;=1,ISNUMBER($H80),MOD($H80,1)=0,$H80&gt;=1,$H80&lt;=5,ISNUMBER($J80),MOD($J80,1)=0,$J80&gt;=1,$J80&lt;=5,ISNUMBER($L80),MOD($L80,1)=0,$L80&gt;=1,$L80&lt;=5,ISNUMBER($N80),$N80&gt;=0,$O80="",$P80&lt;&gt;"",$Q80&lt;&gt;"",$R80="runner_monotonic_complete"),"ScorableComplete",IF(AND($A80&lt;&gt;"",$B80&lt;&gt;"",$C80&lt;&gt;"",$D80&lt;&gt;"",$E80&lt;&gt;"",$F80&lt;&gt;"",ISNUMBER($G80),$G80&gt;=1,OR($O80="insufficient_source_evidence",$O80="operational_failure"),$H80="",$J80="",$L80="",$N80="",$Q80&lt;&gt;"",$R80="runner_monotonic_not_scorable"),"NotScorable","Partial")))</x:f>
        <x:v>Pending</x:v>
      </x:c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50"/>
      <x:c r="O81" s="44"/>
      <x:c r="P81" s="53"/>
      <x:c r="Q81" s="53"/>
      <x:c r="R81" s="44"/>
      <x:c r="S81" s="47" t="str">
        <x:f>IF(COUNTA($H81:$R81)=0,"Pending",IF(AND($A81&lt;&gt;"",$B81&lt;&gt;"",$C81&lt;&gt;"",$D81&lt;&gt;"",$E81&lt;&gt;"",$F81&lt;&gt;"",ISNUMBER($G81),$G81&gt;=1,ISNUMBER($H81),MOD($H81,1)=0,$H81&gt;=1,$H81&lt;=5,ISNUMBER($J81),MOD($J81,1)=0,$J81&gt;=1,$J81&lt;=5,ISNUMBER($L81),MOD($L81,1)=0,$L81&gt;=1,$L81&lt;=5,ISNUMBER($N81),$N81&gt;=0,$O81="",$P81&lt;&gt;"",$Q81&lt;&gt;"",$R81="runner_monotonic_complete"),"ScorableComplete",IF(AND($A81&lt;&gt;"",$B81&lt;&gt;"",$C81&lt;&gt;"",$D81&lt;&gt;"",$E81&lt;&gt;"",$F81&lt;&gt;"",ISNUMBER($G81),$G81&gt;=1,OR($O81="insufficient_source_evidence",$O81="operational_failure"),$H81="",$J81="",$L81="",$N81="",$Q81&lt;&gt;"",$R81="runner_monotonic_not_scorable"),"NotScorable","Partial")))</x:f>
        <x:v>Pending</x:v>
      </x:c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50"/>
      <x:c r="O82" s="44"/>
      <x:c r="P82" s="53"/>
      <x:c r="Q82" s="53"/>
      <x:c r="R82" s="44"/>
      <x:c r="S82" s="47" t="str">
        <x:f>IF(COUNTA($H82:$R82)=0,"Pending",IF(AND($A82&lt;&gt;"",$B82&lt;&gt;"",$C82&lt;&gt;"",$D82&lt;&gt;"",$E82&lt;&gt;"",$F82&lt;&gt;"",ISNUMBER($G82),$G82&gt;=1,ISNUMBER($H82),MOD($H82,1)=0,$H82&gt;=1,$H82&lt;=5,ISNUMBER($J82),MOD($J82,1)=0,$J82&gt;=1,$J82&lt;=5,ISNUMBER($L82),MOD($L82,1)=0,$L82&gt;=1,$L82&lt;=5,ISNUMBER($N82),$N82&gt;=0,$O82="",$P82&lt;&gt;"",$Q82&lt;&gt;"",$R82="runner_monotonic_complete"),"ScorableComplete",IF(AND($A82&lt;&gt;"",$B82&lt;&gt;"",$C82&lt;&gt;"",$D82&lt;&gt;"",$E82&lt;&gt;"",$F82&lt;&gt;"",ISNUMBER($G82),$G82&gt;=1,OR($O82="insufficient_source_evidence",$O82="operational_failure"),$H82="",$J82="",$L82="",$N82="",$Q82&lt;&gt;"",$R82="runner_monotonic_not_scorable"),"NotScorable","Partial")))</x:f>
        <x:v>Pending</x:v>
      </x:c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50"/>
      <x:c r="O83" s="44"/>
      <x:c r="P83" s="53"/>
      <x:c r="Q83" s="53"/>
      <x:c r="R83" s="44"/>
      <x:c r="S83" s="47" t="str">
        <x:f>IF(COUNTA($H83:$R83)=0,"Pending",IF(AND($A83&lt;&gt;"",$B83&lt;&gt;"",$C83&lt;&gt;"",$D83&lt;&gt;"",$E83&lt;&gt;"",$F83&lt;&gt;"",ISNUMBER($G83),$G83&gt;=1,ISNUMBER($H83),MOD($H83,1)=0,$H83&gt;=1,$H83&lt;=5,ISNUMBER($J83),MOD($J83,1)=0,$J83&gt;=1,$J83&lt;=5,ISNUMBER($L83),MOD($L83,1)=0,$L83&gt;=1,$L83&lt;=5,ISNUMBER($N83),$N83&gt;=0,$O83="",$P83&lt;&gt;"",$Q83&lt;&gt;"",$R83="runner_monotonic_complete"),"ScorableComplete",IF(AND($A83&lt;&gt;"",$B83&lt;&gt;"",$C83&lt;&gt;"",$D83&lt;&gt;"",$E83&lt;&gt;"",$F83&lt;&gt;"",ISNUMBER($G83),$G83&gt;=1,OR($O83="insufficient_source_evidence",$O83="operational_failure"),$H83="",$J83="",$L83="",$N83="",$Q83&lt;&gt;"",$R83="runner_monotonic_not_scorable"),"NotScorable","Partial")))</x:f>
        <x:v>Pending</x:v>
      </x:c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50"/>
      <x:c r="O84" s="44"/>
      <x:c r="P84" s="53"/>
      <x:c r="Q84" s="53"/>
      <x:c r="R84" s="44"/>
      <x:c r="S84" s="47" t="str">
        <x:f>IF(COUNTA($H84:$R84)=0,"Pending",IF(AND($A84&lt;&gt;"",$B84&lt;&gt;"",$C84&lt;&gt;"",$D84&lt;&gt;"",$E84&lt;&gt;"",$F84&lt;&gt;"",ISNUMBER($G84),$G84&gt;=1,ISNUMBER($H84),MOD($H84,1)=0,$H84&gt;=1,$H84&lt;=5,ISNUMBER($J84),MOD($J84,1)=0,$J84&gt;=1,$J84&lt;=5,ISNUMBER($L84),MOD($L84,1)=0,$L84&gt;=1,$L84&lt;=5,ISNUMBER($N84),$N84&gt;=0,$O84="",$P84&lt;&gt;"",$Q84&lt;&gt;"",$R84="runner_monotonic_complete"),"ScorableComplete",IF(AND($A84&lt;&gt;"",$B84&lt;&gt;"",$C84&lt;&gt;"",$D84&lt;&gt;"",$E84&lt;&gt;"",$F84&lt;&gt;"",ISNUMBER($G84),$G84&gt;=1,OR($O84="insufficient_source_evidence",$O84="operational_failure"),$H84="",$J84="",$L84="",$N84="",$Q84&lt;&gt;"",$R84="runner_monotonic_not_scorable"),"NotScorable","Partial")))</x:f>
        <x:v>Pending</x:v>
      </x:c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50"/>
      <x:c r="O85" s="44"/>
      <x:c r="P85" s="53"/>
      <x:c r="Q85" s="53"/>
      <x:c r="R85" s="44"/>
      <x:c r="S85" s="47" t="str">
        <x:f>IF(COUNTA($H85:$R85)=0,"Pending",IF(AND($A85&lt;&gt;"",$B85&lt;&gt;"",$C85&lt;&gt;"",$D85&lt;&gt;"",$E85&lt;&gt;"",$F85&lt;&gt;"",ISNUMBER($G85),$G85&gt;=1,ISNUMBER($H85),MOD($H85,1)=0,$H85&gt;=1,$H85&lt;=5,ISNUMBER($J85),MOD($J85,1)=0,$J85&gt;=1,$J85&lt;=5,ISNUMBER($L85),MOD($L85,1)=0,$L85&gt;=1,$L85&lt;=5,ISNUMBER($N85),$N85&gt;=0,$O85="",$P85&lt;&gt;"",$Q85&lt;&gt;"",$R85="runner_monotonic_complete"),"ScorableComplete",IF(AND($A85&lt;&gt;"",$B85&lt;&gt;"",$C85&lt;&gt;"",$D85&lt;&gt;"",$E85&lt;&gt;"",$F85&lt;&gt;"",ISNUMBER($G85),$G85&gt;=1,OR($O85="insufficient_source_evidence",$O85="operational_failure"),$H85="",$J85="",$L85="",$N85="",$Q85&lt;&gt;"",$R85="runner_monotonic_not_scorable"),"NotScorable","Partial")))</x:f>
        <x:v>Pending</x:v>
      </x:c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50"/>
      <x:c r="O86" s="44"/>
      <x:c r="P86" s="53"/>
      <x:c r="Q86" s="53"/>
      <x:c r="R86" s="44"/>
      <x:c r="S86" s="47" t="str">
        <x:f>IF(COUNTA($H86:$R86)=0,"Pending",IF(AND($A86&lt;&gt;"",$B86&lt;&gt;"",$C86&lt;&gt;"",$D86&lt;&gt;"",$E86&lt;&gt;"",$F86&lt;&gt;"",ISNUMBER($G86),$G86&gt;=1,ISNUMBER($H86),MOD($H86,1)=0,$H86&gt;=1,$H86&lt;=5,ISNUMBER($J86),MOD($J86,1)=0,$J86&gt;=1,$J86&lt;=5,ISNUMBER($L86),MOD($L86,1)=0,$L86&gt;=1,$L86&lt;=5,ISNUMBER($N86),$N86&gt;=0,$O86="",$P86&lt;&gt;"",$Q86&lt;&gt;"",$R86="runner_monotonic_complete"),"ScorableComplete",IF(AND($A86&lt;&gt;"",$B86&lt;&gt;"",$C86&lt;&gt;"",$D86&lt;&gt;"",$E86&lt;&gt;"",$F86&lt;&gt;"",ISNUMBER($G86),$G86&gt;=1,OR($O86="insufficient_source_evidence",$O86="operational_failure"),$H86="",$J86="",$L86="",$N86="",$Q86&lt;&gt;"",$R86="runner_monotonic_not_scorable"),"NotScorable","Partial")))</x:f>
        <x:v>Pending</x:v>
      </x:c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50"/>
      <x:c r="O87" s="44"/>
      <x:c r="P87" s="53"/>
      <x:c r="Q87" s="53"/>
      <x:c r="R87" s="44"/>
      <x:c r="S87" s="47" t="str">
        <x:f>IF(COUNTA($H87:$R87)=0,"Pending",IF(AND($A87&lt;&gt;"",$B87&lt;&gt;"",$C87&lt;&gt;"",$D87&lt;&gt;"",$E87&lt;&gt;"",$F87&lt;&gt;"",ISNUMBER($G87),$G87&gt;=1,ISNUMBER($H87),MOD($H87,1)=0,$H87&gt;=1,$H87&lt;=5,ISNUMBER($J87),MOD($J87,1)=0,$J87&gt;=1,$J87&lt;=5,ISNUMBER($L87),MOD($L87,1)=0,$L87&gt;=1,$L87&lt;=5,ISNUMBER($N87),$N87&gt;=0,$O87="",$P87&lt;&gt;"",$Q87&lt;&gt;"",$R87="runner_monotonic_complete"),"ScorableComplete",IF(AND($A87&lt;&gt;"",$B87&lt;&gt;"",$C87&lt;&gt;"",$D87&lt;&gt;"",$E87&lt;&gt;"",$F87&lt;&gt;"",ISNUMBER($G87),$G87&gt;=1,OR($O87="insufficient_source_evidence",$O87="operational_failure"),$H87="",$J87="",$L87="",$N87="",$Q87&lt;&gt;"",$R87="runner_monotonic_not_scorable"),"NotScorable","Partial")))</x:f>
        <x:v>Pending</x:v>
      </x:c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50"/>
      <x:c r="O88" s="44"/>
      <x:c r="P88" s="53"/>
      <x:c r="Q88" s="53"/>
      <x:c r="R88" s="44"/>
      <x:c r="S88" s="47" t="str">
        <x:f>IF(COUNTA($H88:$R88)=0,"Pending",IF(AND($A88&lt;&gt;"",$B88&lt;&gt;"",$C88&lt;&gt;"",$D88&lt;&gt;"",$E88&lt;&gt;"",$F88&lt;&gt;"",ISNUMBER($G88),$G88&gt;=1,ISNUMBER($H88),MOD($H88,1)=0,$H88&gt;=1,$H88&lt;=5,ISNUMBER($J88),MOD($J88,1)=0,$J88&gt;=1,$J88&lt;=5,ISNUMBER($L88),MOD($L88,1)=0,$L88&gt;=1,$L88&lt;=5,ISNUMBER($N88),$N88&gt;=0,$O88="",$P88&lt;&gt;"",$Q88&lt;&gt;"",$R88="runner_monotonic_complete"),"ScorableComplete",IF(AND($A88&lt;&gt;"",$B88&lt;&gt;"",$C88&lt;&gt;"",$D88&lt;&gt;"",$E88&lt;&gt;"",$F88&lt;&gt;"",ISNUMBER($G88),$G88&gt;=1,OR($O88="insufficient_source_evidence",$O88="operational_failure"),$H88="",$J88="",$L88="",$N88="",$Q88&lt;&gt;"",$R88="runner_monotonic_not_scorable"),"NotScorable","Partial")))</x:f>
        <x:v>Pending</x:v>
      </x:c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50"/>
      <x:c r="O89" s="44"/>
      <x:c r="P89" s="53"/>
      <x:c r="Q89" s="53"/>
      <x:c r="R89" s="44"/>
      <x:c r="S89" s="47" t="str">
        <x:f>IF(COUNTA($H89:$R89)=0,"Pending",IF(AND($A89&lt;&gt;"",$B89&lt;&gt;"",$C89&lt;&gt;"",$D89&lt;&gt;"",$E89&lt;&gt;"",$F89&lt;&gt;"",ISNUMBER($G89),$G89&gt;=1,ISNUMBER($H89),MOD($H89,1)=0,$H89&gt;=1,$H89&lt;=5,ISNUMBER($J89),MOD($J89,1)=0,$J89&gt;=1,$J89&lt;=5,ISNUMBER($L89),MOD($L89,1)=0,$L89&gt;=1,$L89&lt;=5,ISNUMBER($N89),$N89&gt;=0,$O89="",$P89&lt;&gt;"",$Q89&lt;&gt;"",$R89="runner_monotonic_complete"),"ScorableComplete",IF(AND($A89&lt;&gt;"",$B89&lt;&gt;"",$C89&lt;&gt;"",$D89&lt;&gt;"",$E89&lt;&gt;"",$F89&lt;&gt;"",ISNUMBER($G89),$G89&gt;=1,OR($O89="insufficient_source_evidence",$O89="operational_failure"),$H89="",$J89="",$L89="",$N89="",$Q89&lt;&gt;"",$R89="runner_monotonic_not_scorable"),"NotScorable","Partial")))</x:f>
        <x:v>Pending</x:v>
      </x:c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50"/>
      <x:c r="O90" s="44"/>
      <x:c r="P90" s="53"/>
      <x:c r="Q90" s="53"/>
      <x:c r="R90" s="44"/>
      <x:c r="S90" s="47" t="str">
        <x:f>IF(COUNTA($H90:$R90)=0,"Pending",IF(AND($A90&lt;&gt;"",$B90&lt;&gt;"",$C90&lt;&gt;"",$D90&lt;&gt;"",$E90&lt;&gt;"",$F90&lt;&gt;"",ISNUMBER($G90),$G90&gt;=1,ISNUMBER($H90),MOD($H90,1)=0,$H90&gt;=1,$H90&lt;=5,ISNUMBER($J90),MOD($J90,1)=0,$J90&gt;=1,$J90&lt;=5,ISNUMBER($L90),MOD($L90,1)=0,$L90&gt;=1,$L90&lt;=5,ISNUMBER($N90),$N90&gt;=0,$O90="",$P90&lt;&gt;"",$Q90&lt;&gt;"",$R90="runner_monotonic_complete"),"ScorableComplete",IF(AND($A90&lt;&gt;"",$B90&lt;&gt;"",$C90&lt;&gt;"",$D90&lt;&gt;"",$E90&lt;&gt;"",$F90&lt;&gt;"",ISNUMBER($G90),$G90&gt;=1,OR($O90="insufficient_source_evidence",$O90="operational_failure"),$H90="",$J90="",$L90="",$N90="",$Q90&lt;&gt;"",$R90="runner_monotonic_not_scorable"),"NotScorable","Partial")))</x:f>
        <x:v>Pending</x:v>
      </x:c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50"/>
      <x:c r="O91" s="44"/>
      <x:c r="P91" s="53"/>
      <x:c r="Q91" s="53"/>
      <x:c r="R91" s="44"/>
      <x:c r="S91" s="47" t="str">
        <x:f>IF(COUNTA($H91:$R91)=0,"Pending",IF(AND($A91&lt;&gt;"",$B91&lt;&gt;"",$C91&lt;&gt;"",$D91&lt;&gt;"",$E91&lt;&gt;"",$F91&lt;&gt;"",ISNUMBER($G91),$G91&gt;=1,ISNUMBER($H91),MOD($H91,1)=0,$H91&gt;=1,$H91&lt;=5,ISNUMBER($J91),MOD($J91,1)=0,$J91&gt;=1,$J91&lt;=5,ISNUMBER($L91),MOD($L91,1)=0,$L91&gt;=1,$L91&lt;=5,ISNUMBER($N91),$N91&gt;=0,$O91="",$P91&lt;&gt;"",$Q91&lt;&gt;"",$R91="runner_monotonic_complete"),"ScorableComplete",IF(AND($A91&lt;&gt;"",$B91&lt;&gt;"",$C91&lt;&gt;"",$D91&lt;&gt;"",$E91&lt;&gt;"",$F91&lt;&gt;"",ISNUMBER($G91),$G91&gt;=1,OR($O91="insufficient_source_evidence",$O91="operational_failure"),$H91="",$J91="",$L91="",$N91="",$Q91&lt;&gt;"",$R91="runner_monotonic_not_scorable"),"NotScorable","Partial")))</x:f>
        <x:v>Pending</x:v>
      </x:c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50"/>
      <x:c r="O92" s="44"/>
      <x:c r="P92" s="53"/>
      <x:c r="Q92" s="53"/>
      <x:c r="R92" s="44"/>
      <x:c r="S92" s="47" t="str">
        <x:f>IF(COUNTA($H92:$R92)=0,"Pending",IF(AND($A92&lt;&gt;"",$B92&lt;&gt;"",$C92&lt;&gt;"",$D92&lt;&gt;"",$E92&lt;&gt;"",$F92&lt;&gt;"",ISNUMBER($G92),$G92&gt;=1,ISNUMBER($H92),MOD($H92,1)=0,$H92&gt;=1,$H92&lt;=5,ISNUMBER($J92),MOD($J92,1)=0,$J92&gt;=1,$J92&lt;=5,ISNUMBER($L92),MOD($L92,1)=0,$L92&gt;=1,$L92&lt;=5,ISNUMBER($N92),$N92&gt;=0,$O92="",$P92&lt;&gt;"",$Q92&lt;&gt;"",$R92="runner_monotonic_complete"),"ScorableComplete",IF(AND($A92&lt;&gt;"",$B92&lt;&gt;"",$C92&lt;&gt;"",$D92&lt;&gt;"",$E92&lt;&gt;"",$F92&lt;&gt;"",ISNUMBER($G92),$G92&gt;=1,OR($O92="insufficient_source_evidence",$O92="operational_failure"),$H92="",$J92="",$L92="",$N92="",$Q92&lt;&gt;"",$R92="runner_monotonic_not_scorable"),"NotScorable","Partial")))</x:f>
        <x:v>Pending</x:v>
      </x:c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50"/>
      <x:c r="O93" s="44"/>
      <x:c r="P93" s="53"/>
      <x:c r="Q93" s="53"/>
      <x:c r="R93" s="44"/>
      <x:c r="S93" s="47" t="str">
        <x:f>IF(COUNTA($H93:$R93)=0,"Pending",IF(AND($A93&lt;&gt;"",$B93&lt;&gt;"",$C93&lt;&gt;"",$D93&lt;&gt;"",$E93&lt;&gt;"",$F93&lt;&gt;"",ISNUMBER($G93),$G93&gt;=1,ISNUMBER($H93),MOD($H93,1)=0,$H93&gt;=1,$H93&lt;=5,ISNUMBER($J93),MOD($J93,1)=0,$J93&gt;=1,$J93&lt;=5,ISNUMBER($L93),MOD($L93,1)=0,$L93&gt;=1,$L93&lt;=5,ISNUMBER($N93),$N93&gt;=0,$O93="",$P93&lt;&gt;"",$Q93&lt;&gt;"",$R93="runner_monotonic_complete"),"ScorableComplete",IF(AND($A93&lt;&gt;"",$B93&lt;&gt;"",$C93&lt;&gt;"",$D93&lt;&gt;"",$E93&lt;&gt;"",$F93&lt;&gt;"",ISNUMBER($G93),$G93&gt;=1,OR($O93="insufficient_source_evidence",$O93="operational_failure"),$H93="",$J93="",$L93="",$N93="",$Q93&lt;&gt;"",$R93="runner_monotonic_not_scorable"),"NotScorable","Partial")))</x:f>
        <x:v>Pending</x:v>
      </x:c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50"/>
      <x:c r="O94" s="44"/>
      <x:c r="P94" s="53"/>
      <x:c r="Q94" s="53"/>
      <x:c r="R94" s="44"/>
      <x:c r="S94" s="47" t="str">
        <x:f>IF(COUNTA($H94:$R94)=0,"Pending",IF(AND($A94&lt;&gt;"",$B94&lt;&gt;"",$C94&lt;&gt;"",$D94&lt;&gt;"",$E94&lt;&gt;"",$F94&lt;&gt;"",ISNUMBER($G94),$G94&gt;=1,ISNUMBER($H94),MOD($H94,1)=0,$H94&gt;=1,$H94&lt;=5,ISNUMBER($J94),MOD($J94,1)=0,$J94&gt;=1,$J94&lt;=5,ISNUMBER($L94),MOD($L94,1)=0,$L94&gt;=1,$L94&lt;=5,ISNUMBER($N94),$N94&gt;=0,$O94="",$P94&lt;&gt;"",$Q94&lt;&gt;"",$R94="runner_monotonic_complete"),"ScorableComplete",IF(AND($A94&lt;&gt;"",$B94&lt;&gt;"",$C94&lt;&gt;"",$D94&lt;&gt;"",$E94&lt;&gt;"",$F94&lt;&gt;"",ISNUMBER($G94),$G94&gt;=1,OR($O94="insufficient_source_evidence",$O94="operational_failure"),$H94="",$J94="",$L94="",$N94="",$Q94&lt;&gt;"",$R94="runner_monotonic_not_scorable"),"NotScorable","Partial")))</x:f>
        <x:v>Pending</x:v>
      </x:c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50"/>
      <x:c r="O95" s="44"/>
      <x:c r="P95" s="53"/>
      <x:c r="Q95" s="53"/>
      <x:c r="R95" s="44"/>
      <x:c r="S95" s="47" t="str">
        <x:f>IF(COUNTA($H95:$R95)=0,"Pending",IF(AND($A95&lt;&gt;"",$B95&lt;&gt;"",$C95&lt;&gt;"",$D95&lt;&gt;"",$E95&lt;&gt;"",$F95&lt;&gt;"",ISNUMBER($G95),$G95&gt;=1,ISNUMBER($H95),MOD($H95,1)=0,$H95&gt;=1,$H95&lt;=5,ISNUMBER($J95),MOD($J95,1)=0,$J95&gt;=1,$J95&lt;=5,ISNUMBER($L95),MOD($L95,1)=0,$L95&gt;=1,$L95&lt;=5,ISNUMBER($N95),$N95&gt;=0,$O95="",$P95&lt;&gt;"",$Q95&lt;&gt;"",$R95="runner_monotonic_complete"),"ScorableComplete",IF(AND($A95&lt;&gt;"",$B95&lt;&gt;"",$C95&lt;&gt;"",$D95&lt;&gt;"",$E95&lt;&gt;"",$F95&lt;&gt;"",ISNUMBER($G95),$G95&gt;=1,OR($O95="insufficient_source_evidence",$O95="operational_failure"),$H95="",$J95="",$L95="",$N95="",$Q95&lt;&gt;"",$R95="runner_monotonic_not_scorable"),"NotScorable","Partial")))</x:f>
        <x:v>Pending</x:v>
      </x:c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50"/>
      <x:c r="O96" s="44"/>
      <x:c r="P96" s="53"/>
      <x:c r="Q96" s="53"/>
      <x:c r="R96" s="44"/>
      <x:c r="S96" s="47" t="str">
        <x:f>IF(COUNTA($H96:$R96)=0,"Pending",IF(AND($A96&lt;&gt;"",$B96&lt;&gt;"",$C96&lt;&gt;"",$D96&lt;&gt;"",$E96&lt;&gt;"",$F96&lt;&gt;"",ISNUMBER($G96),$G96&gt;=1,ISNUMBER($H96),MOD($H96,1)=0,$H96&gt;=1,$H96&lt;=5,ISNUMBER($J96),MOD($J96,1)=0,$J96&gt;=1,$J96&lt;=5,ISNUMBER($L96),MOD($L96,1)=0,$L96&gt;=1,$L96&lt;=5,ISNUMBER($N96),$N96&gt;=0,$O96="",$P96&lt;&gt;"",$Q96&lt;&gt;"",$R96="runner_monotonic_complete"),"ScorableComplete",IF(AND($A96&lt;&gt;"",$B96&lt;&gt;"",$C96&lt;&gt;"",$D96&lt;&gt;"",$E96&lt;&gt;"",$F96&lt;&gt;"",ISNUMBER($G96),$G96&gt;=1,OR($O96="insufficient_source_evidence",$O96="operational_failure"),$H96="",$J96="",$L96="",$N96="",$Q96&lt;&gt;"",$R96="runner_monotonic_not_scorable"),"NotScorable","Partial")))</x:f>
        <x:v>Pending</x:v>
      </x:c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50"/>
      <x:c r="O97" s="44"/>
      <x:c r="P97" s="53"/>
      <x:c r="Q97" s="53"/>
      <x:c r="R97" s="44"/>
      <x:c r="S97" s="47" t="str">
        <x:f>IF(COUNTA($H97:$R97)=0,"Pending",IF(AND($A97&lt;&gt;"",$B97&lt;&gt;"",$C97&lt;&gt;"",$D97&lt;&gt;"",$E97&lt;&gt;"",$F97&lt;&gt;"",ISNUMBER($G97),$G97&gt;=1,ISNUMBER($H97),MOD($H97,1)=0,$H97&gt;=1,$H97&lt;=5,ISNUMBER($J97),MOD($J97,1)=0,$J97&gt;=1,$J97&lt;=5,ISNUMBER($L97),MOD($L97,1)=0,$L97&gt;=1,$L97&lt;=5,ISNUMBER($N97),$N97&gt;=0,$O97="",$P97&lt;&gt;"",$Q97&lt;&gt;"",$R97="runner_monotonic_complete"),"ScorableComplete",IF(AND($A97&lt;&gt;"",$B97&lt;&gt;"",$C97&lt;&gt;"",$D97&lt;&gt;"",$E97&lt;&gt;"",$F97&lt;&gt;"",ISNUMBER($G97),$G97&gt;=1,OR($O97="insufficient_source_evidence",$O97="operational_failure"),$H97="",$J97="",$L97="",$N97="",$Q97&lt;&gt;"",$R97="runner_monotonic_not_scorable"),"NotScorable","Partial")))</x:f>
        <x:v>Pending</x:v>
      </x:c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50"/>
      <x:c r="O98" s="44"/>
      <x:c r="P98" s="53"/>
      <x:c r="Q98" s="53"/>
      <x:c r="R98" s="44"/>
      <x:c r="S98" s="47" t="str">
        <x:f>IF(COUNTA($H98:$R98)=0,"Pending",IF(AND($A98&lt;&gt;"",$B98&lt;&gt;"",$C98&lt;&gt;"",$D98&lt;&gt;"",$E98&lt;&gt;"",$F98&lt;&gt;"",ISNUMBER($G98),$G98&gt;=1,ISNUMBER($H98),MOD($H98,1)=0,$H98&gt;=1,$H98&lt;=5,ISNUMBER($J98),MOD($J98,1)=0,$J98&gt;=1,$J98&lt;=5,ISNUMBER($L98),MOD($L98,1)=0,$L98&gt;=1,$L98&lt;=5,ISNUMBER($N98),$N98&gt;=0,$O98="",$P98&lt;&gt;"",$Q98&lt;&gt;"",$R98="runner_monotonic_complete"),"ScorableComplete",IF(AND($A98&lt;&gt;"",$B98&lt;&gt;"",$C98&lt;&gt;"",$D98&lt;&gt;"",$E98&lt;&gt;"",$F98&lt;&gt;"",ISNUMBER($G98),$G98&gt;=1,OR($O98="insufficient_source_evidence",$O98="operational_failure"),$H98="",$J98="",$L98="",$N98="",$Q98&lt;&gt;"",$R98="runner_monotonic_not_scorable"),"NotScorable","Partial")))</x:f>
        <x:v>Pending</x:v>
      </x:c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50"/>
      <x:c r="O99" s="44"/>
      <x:c r="P99" s="53"/>
      <x:c r="Q99" s="53"/>
      <x:c r="R99" s="44"/>
      <x:c r="S99" s="47" t="str">
        <x:f>IF(COUNTA($H99:$R99)=0,"Pending",IF(AND($A99&lt;&gt;"",$B99&lt;&gt;"",$C99&lt;&gt;"",$D99&lt;&gt;"",$E99&lt;&gt;"",$F99&lt;&gt;"",ISNUMBER($G99),$G99&gt;=1,ISNUMBER($H99),MOD($H99,1)=0,$H99&gt;=1,$H99&lt;=5,ISNUMBER($J99),MOD($J99,1)=0,$J99&gt;=1,$J99&lt;=5,ISNUMBER($L99),MOD($L99,1)=0,$L99&gt;=1,$L99&lt;=5,ISNUMBER($N99),$N99&gt;=0,$O99="",$P99&lt;&gt;"",$Q99&lt;&gt;"",$R99="runner_monotonic_complete"),"ScorableComplete",IF(AND($A99&lt;&gt;"",$B99&lt;&gt;"",$C99&lt;&gt;"",$D99&lt;&gt;"",$E99&lt;&gt;"",$F99&lt;&gt;"",ISNUMBER($G99),$G99&gt;=1,OR($O99="insufficient_source_evidence",$O99="operational_failure"),$H99="",$J99="",$L99="",$N99="",$Q99&lt;&gt;"",$R99="runner_monotonic_not_scorable"),"NotScorable","Partial")))</x:f>
        <x:v>Pending</x:v>
      </x:c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50"/>
      <x:c r="O100" s="44"/>
      <x:c r="P100" s="53"/>
      <x:c r="Q100" s="53"/>
      <x:c r="R100" s="44"/>
      <x:c r="S100" s="47" t="str">
        <x:f>IF(COUNTA($H100:$R100)=0,"Pending",IF(AND($A100&lt;&gt;"",$B100&lt;&gt;"",$C100&lt;&gt;"",$D100&lt;&gt;"",$E100&lt;&gt;"",$F100&lt;&gt;"",ISNUMBER($G100),$G100&gt;=1,ISNUMBER($H100),MOD($H100,1)=0,$H100&gt;=1,$H100&lt;=5,ISNUMBER($J100),MOD($J100,1)=0,$J100&gt;=1,$J100&lt;=5,ISNUMBER($L100),MOD($L100,1)=0,$L100&gt;=1,$L100&lt;=5,ISNUMBER($N100),$N100&gt;=0,$O100="",$P100&lt;&gt;"",$Q100&lt;&gt;"",$R100="runner_monotonic_complete"),"ScorableComplete",IF(AND($A100&lt;&gt;"",$B100&lt;&gt;"",$C100&lt;&gt;"",$D100&lt;&gt;"",$E100&lt;&gt;"",$F100&lt;&gt;"",ISNUMBER($G100),$G100&gt;=1,OR($O100="insufficient_source_evidence",$O100="operational_failure"),$H100="",$J100="",$L100="",$N100="",$Q100&lt;&gt;"",$R100="runner_monotonic_not_scorable"),"NotScorable","Partial")))</x:f>
        <x:v>Pending</x:v>
      </x:c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50"/>
      <x:c r="O101" s="44"/>
      <x:c r="P101" s="53"/>
      <x:c r="Q101" s="53"/>
      <x:c r="R101" s="44"/>
      <x:c r="S101" s="47" t="str">
        <x:f>IF(COUNTA($H101:$R101)=0,"Pending",IF(AND($A101&lt;&gt;"",$B101&lt;&gt;"",$C101&lt;&gt;"",$D101&lt;&gt;"",$E101&lt;&gt;"",$F101&lt;&gt;"",ISNUMBER($G101),$G101&gt;=1,ISNUMBER($H101),MOD($H101,1)=0,$H101&gt;=1,$H101&lt;=5,ISNUMBER($J101),MOD($J101,1)=0,$J101&gt;=1,$J101&lt;=5,ISNUMBER($L101),MOD($L101,1)=0,$L101&gt;=1,$L101&lt;=5,ISNUMBER($N101),$N101&gt;=0,$O101="",$P101&lt;&gt;"",$Q101&lt;&gt;"",$R101="runner_monotonic_complete"),"ScorableComplete",IF(AND($A101&lt;&gt;"",$B101&lt;&gt;"",$C101&lt;&gt;"",$D101&lt;&gt;"",$E101&lt;&gt;"",$F101&lt;&gt;"",ISNUMBER($G101),$G101&gt;=1,OR($O101="insufficient_source_evidence",$O101="operational_failure"),$H101="",$J101="",$L101="",$N101="",$Q101&lt;&gt;"",$R101="runner_monotonic_not_scorable"),"NotScorable","Partial")))</x:f>
        <x:v>Pending</x:v>
      </x:c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50"/>
      <x:c r="O102" s="44"/>
      <x:c r="P102" s="53"/>
      <x:c r="Q102" s="53"/>
      <x:c r="R102" s="44"/>
      <x:c r="S102" s="47" t="str">
        <x:f>IF(COUNTA($H102:$R102)=0,"Pending",IF(AND($A102&lt;&gt;"",$B102&lt;&gt;"",$C102&lt;&gt;"",$D102&lt;&gt;"",$E102&lt;&gt;"",$F102&lt;&gt;"",ISNUMBER($G102),$G102&gt;=1,ISNUMBER($H102),MOD($H102,1)=0,$H102&gt;=1,$H102&lt;=5,ISNUMBER($J102),MOD($J102,1)=0,$J102&gt;=1,$J102&lt;=5,ISNUMBER($L102),MOD($L102,1)=0,$L102&gt;=1,$L102&lt;=5,ISNUMBER($N102),$N102&gt;=0,$O102="",$P102&lt;&gt;"",$Q102&lt;&gt;"",$R102="runner_monotonic_complete"),"ScorableComplete",IF(AND($A102&lt;&gt;"",$B102&lt;&gt;"",$C102&lt;&gt;"",$D102&lt;&gt;"",$E102&lt;&gt;"",$F102&lt;&gt;"",ISNUMBER($G102),$G102&gt;=1,OR($O102="insufficient_source_evidence",$O102="operational_failure"),$H102="",$J102="",$L102="",$N102="",$Q102&lt;&gt;"",$R102="runner_monotonic_not_scorable"),"NotScorable","Partial")))</x:f>
        <x:v>Pending</x:v>
      </x:c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50"/>
      <x:c r="O103" s="44"/>
      <x:c r="P103" s="53"/>
      <x:c r="Q103" s="53"/>
      <x:c r="R103" s="44"/>
      <x:c r="S103" s="47" t="str">
        <x:f>IF(COUNTA($H103:$R103)=0,"Pending",IF(AND($A103&lt;&gt;"",$B103&lt;&gt;"",$C103&lt;&gt;"",$D103&lt;&gt;"",$E103&lt;&gt;"",$F103&lt;&gt;"",ISNUMBER($G103),$G103&gt;=1,ISNUMBER($H103),MOD($H103,1)=0,$H103&gt;=1,$H103&lt;=5,ISNUMBER($J103),MOD($J103,1)=0,$J103&gt;=1,$J103&lt;=5,ISNUMBER($L103),MOD($L103,1)=0,$L103&gt;=1,$L103&lt;=5,ISNUMBER($N103),$N103&gt;=0,$O103="",$P103&lt;&gt;"",$Q103&lt;&gt;"",$R103="runner_monotonic_complete"),"ScorableComplete",IF(AND($A103&lt;&gt;"",$B103&lt;&gt;"",$C103&lt;&gt;"",$D103&lt;&gt;"",$E103&lt;&gt;"",$F103&lt;&gt;"",ISNUMBER($G103),$G103&gt;=1,OR($O103="insufficient_source_evidence",$O103="operational_failure"),$H103="",$J103="",$L103="",$N103="",$Q103&lt;&gt;"",$R103="runner_monotonic_not_scorable"),"NotScorable","Partial")))</x:f>
        <x:v>Pending</x:v>
      </x:c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50"/>
      <x:c r="O104" s="44"/>
      <x:c r="P104" s="53"/>
      <x:c r="Q104" s="53"/>
      <x:c r="R104" s="44"/>
      <x:c r="S104" s="47" t="str">
        <x:f>IF(COUNTA($H104:$R104)=0,"Pending",IF(AND($A104&lt;&gt;"",$B104&lt;&gt;"",$C104&lt;&gt;"",$D104&lt;&gt;"",$E104&lt;&gt;"",$F104&lt;&gt;"",ISNUMBER($G104),$G104&gt;=1,ISNUMBER($H104),MOD($H104,1)=0,$H104&gt;=1,$H104&lt;=5,ISNUMBER($J104),MOD($J104,1)=0,$J104&gt;=1,$J104&lt;=5,ISNUMBER($L104),MOD($L104,1)=0,$L104&gt;=1,$L104&lt;=5,ISNUMBER($N104),$N104&gt;=0,$O104="",$P104&lt;&gt;"",$Q104&lt;&gt;"",$R104="runner_monotonic_complete"),"ScorableComplete",IF(AND($A104&lt;&gt;"",$B104&lt;&gt;"",$C104&lt;&gt;"",$D104&lt;&gt;"",$E104&lt;&gt;"",$F104&lt;&gt;"",ISNUMBER($G104),$G104&gt;=1,OR($O104="insufficient_source_evidence",$O104="operational_failure"),$H104="",$J104="",$L104="",$N104="",$Q104&lt;&gt;"",$R104="runner_monotonic_not_scorable"),"NotScorable","Partial")))</x:f>
        <x:v>Pending</x:v>
      </x:c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50"/>
      <x:c r="O105" s="44"/>
      <x:c r="P105" s="53"/>
      <x:c r="Q105" s="53"/>
      <x:c r="R105" s="44"/>
      <x:c r="S105" s="47" t="str">
        <x:f>IF(COUNTA($H105:$R105)=0,"Pending",IF(AND($A105&lt;&gt;"",$B105&lt;&gt;"",$C105&lt;&gt;"",$D105&lt;&gt;"",$E105&lt;&gt;"",$F105&lt;&gt;"",ISNUMBER($G105),$G105&gt;=1,ISNUMBER($H105),MOD($H105,1)=0,$H105&gt;=1,$H105&lt;=5,ISNUMBER($J105),MOD($J105,1)=0,$J105&gt;=1,$J105&lt;=5,ISNUMBER($L105),MOD($L105,1)=0,$L105&gt;=1,$L105&lt;=5,ISNUMBER($N105),$N105&gt;=0,$O105="",$P105&lt;&gt;"",$Q105&lt;&gt;"",$R105="runner_monotonic_complete"),"ScorableComplete",IF(AND($A105&lt;&gt;"",$B105&lt;&gt;"",$C105&lt;&gt;"",$D105&lt;&gt;"",$E105&lt;&gt;"",$F105&lt;&gt;"",ISNUMBER($G105),$G105&gt;=1,OR($O105="insufficient_source_evidence",$O105="operational_failure"),$H105="",$J105="",$L105="",$N105="",$Q105&lt;&gt;"",$R105="runner_monotonic_not_scorable"),"NotScorable","Partial")))</x:f>
        <x:v>Pending</x:v>
      </x:c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50"/>
      <x:c r="O106" s="44"/>
      <x:c r="P106" s="53"/>
      <x:c r="Q106" s="53"/>
      <x:c r="R106" s="44"/>
      <x:c r="S106" s="47" t="str">
        <x:f>IF(COUNTA($H106:$R106)=0,"Pending",IF(AND($A106&lt;&gt;"",$B106&lt;&gt;"",$C106&lt;&gt;"",$D106&lt;&gt;"",$E106&lt;&gt;"",$F106&lt;&gt;"",ISNUMBER($G106),$G106&gt;=1,ISNUMBER($H106),MOD($H106,1)=0,$H106&gt;=1,$H106&lt;=5,ISNUMBER($J106),MOD($J106,1)=0,$J106&gt;=1,$J106&lt;=5,ISNUMBER($L106),MOD($L106,1)=0,$L106&gt;=1,$L106&lt;=5,ISNUMBER($N106),$N106&gt;=0,$O106="",$P106&lt;&gt;"",$Q106&lt;&gt;"",$R106="runner_monotonic_complete"),"ScorableComplete",IF(AND($A106&lt;&gt;"",$B106&lt;&gt;"",$C106&lt;&gt;"",$D106&lt;&gt;"",$E106&lt;&gt;"",$F106&lt;&gt;"",ISNUMBER($G106),$G106&gt;=1,OR($O106="insufficient_source_evidence",$O106="operational_failure"),$H106="",$J106="",$L106="",$N106="",$Q106&lt;&gt;"",$R106="runner_monotonic_not_scorable"),"NotScorable","Partial")))</x:f>
        <x:v>Pending</x:v>
      </x:c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50"/>
      <x:c r="O107" s="44"/>
      <x:c r="P107" s="53"/>
      <x:c r="Q107" s="53"/>
      <x:c r="R107" s="44"/>
      <x:c r="S107" s="47" t="str">
        <x:f>IF(COUNTA($H107:$R107)=0,"Pending",IF(AND($A107&lt;&gt;"",$B107&lt;&gt;"",$C107&lt;&gt;"",$D107&lt;&gt;"",$E107&lt;&gt;"",$F107&lt;&gt;"",ISNUMBER($G107),$G107&gt;=1,ISNUMBER($H107),MOD($H107,1)=0,$H107&gt;=1,$H107&lt;=5,ISNUMBER($J107),MOD($J107,1)=0,$J107&gt;=1,$J107&lt;=5,ISNUMBER($L107),MOD($L107,1)=0,$L107&gt;=1,$L107&lt;=5,ISNUMBER($N107),$N107&gt;=0,$O107="",$P107&lt;&gt;"",$Q107&lt;&gt;"",$R107="runner_monotonic_complete"),"ScorableComplete",IF(AND($A107&lt;&gt;"",$B107&lt;&gt;"",$C107&lt;&gt;"",$D107&lt;&gt;"",$E107&lt;&gt;"",$F107&lt;&gt;"",ISNUMBER($G107),$G107&gt;=1,OR($O107="insufficient_source_evidence",$O107="operational_failure"),$H107="",$J107="",$L107="",$N107="",$Q107&lt;&gt;"",$R107="runner_monotonic_not_scorable"),"NotScorable","Partial")))</x:f>
        <x:v>Pending</x:v>
      </x:c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50"/>
      <x:c r="O108" s="44"/>
      <x:c r="P108" s="53"/>
      <x:c r="Q108" s="53"/>
      <x:c r="R108" s="44"/>
      <x:c r="S108" s="47" t="str">
        <x:f>IF(COUNTA($H108:$R108)=0,"Pending",IF(AND($A108&lt;&gt;"",$B108&lt;&gt;"",$C108&lt;&gt;"",$D108&lt;&gt;"",$E108&lt;&gt;"",$F108&lt;&gt;"",ISNUMBER($G108),$G108&gt;=1,ISNUMBER($H108),MOD($H108,1)=0,$H108&gt;=1,$H108&lt;=5,ISNUMBER($J108),MOD($J108,1)=0,$J108&gt;=1,$J108&lt;=5,ISNUMBER($L108),MOD($L108,1)=0,$L108&gt;=1,$L108&lt;=5,ISNUMBER($N108),$N108&gt;=0,$O108="",$P108&lt;&gt;"",$Q108&lt;&gt;"",$R108="runner_monotonic_complete"),"ScorableComplete",IF(AND($A108&lt;&gt;"",$B108&lt;&gt;"",$C108&lt;&gt;"",$D108&lt;&gt;"",$E108&lt;&gt;"",$F108&lt;&gt;"",ISNUMBER($G108),$G108&gt;=1,OR($O108="insufficient_source_evidence",$O108="operational_failure"),$H108="",$J108="",$L108="",$N108="",$Q108&lt;&gt;"",$R108="runner_monotonic_not_scorable"),"NotScorable","Partial")))</x:f>
        <x:v>Pending</x:v>
      </x:c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50"/>
      <x:c r="O109" s="44"/>
      <x:c r="P109" s="53"/>
      <x:c r="Q109" s="53"/>
      <x:c r="R109" s="44"/>
      <x:c r="S109" s="47" t="str">
        <x:f>IF(COUNTA($H109:$R109)=0,"Pending",IF(AND($A109&lt;&gt;"",$B109&lt;&gt;"",$C109&lt;&gt;"",$D109&lt;&gt;"",$E109&lt;&gt;"",$F109&lt;&gt;"",ISNUMBER($G109),$G109&gt;=1,ISNUMBER($H109),MOD($H109,1)=0,$H109&gt;=1,$H109&lt;=5,ISNUMBER($J109),MOD($J109,1)=0,$J109&gt;=1,$J109&lt;=5,ISNUMBER($L109),MOD($L109,1)=0,$L109&gt;=1,$L109&lt;=5,ISNUMBER($N109),$N109&gt;=0,$O109="",$P109&lt;&gt;"",$Q109&lt;&gt;"",$R109="runner_monotonic_complete"),"ScorableComplete",IF(AND($A109&lt;&gt;"",$B109&lt;&gt;"",$C109&lt;&gt;"",$D109&lt;&gt;"",$E109&lt;&gt;"",$F109&lt;&gt;"",ISNUMBER($G109),$G109&gt;=1,OR($O109="insufficient_source_evidence",$O109="operational_failure"),$H109="",$J109="",$L109="",$N109="",$Q109&lt;&gt;"",$R109="runner_monotonic_not_scorable"),"NotScorable","Partial")))</x:f>
        <x:v>Pending</x:v>
      </x:c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50"/>
      <x:c r="O110" s="44"/>
      <x:c r="P110" s="53"/>
      <x:c r="Q110" s="53"/>
      <x:c r="R110" s="44"/>
      <x:c r="S110" s="47" t="str">
        <x:f>IF(COUNTA($H110:$R110)=0,"Pending",IF(AND($A110&lt;&gt;"",$B110&lt;&gt;"",$C110&lt;&gt;"",$D110&lt;&gt;"",$E110&lt;&gt;"",$F110&lt;&gt;"",ISNUMBER($G110),$G110&gt;=1,ISNUMBER($H110),MOD($H110,1)=0,$H110&gt;=1,$H110&lt;=5,ISNUMBER($J110),MOD($J110,1)=0,$J110&gt;=1,$J110&lt;=5,ISNUMBER($L110),MOD($L110,1)=0,$L110&gt;=1,$L110&lt;=5,ISNUMBER($N110),$N110&gt;=0,$O110="",$P110&lt;&gt;"",$Q110&lt;&gt;"",$R110="runner_monotonic_complete"),"ScorableComplete",IF(AND($A110&lt;&gt;"",$B110&lt;&gt;"",$C110&lt;&gt;"",$D110&lt;&gt;"",$E110&lt;&gt;"",$F110&lt;&gt;"",ISNUMBER($G110),$G110&gt;=1,OR($O110="insufficient_source_evidence",$O110="operational_failure"),$H110="",$J110="",$L110="",$N110="",$Q110&lt;&gt;"",$R110="runner_monotonic_not_scorable"),"NotScorable","Partial")))</x:f>
        <x:v>Pending</x:v>
      </x:c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50"/>
      <x:c r="O111" s="44"/>
      <x:c r="P111" s="53"/>
      <x:c r="Q111" s="53"/>
      <x:c r="R111" s="44"/>
      <x:c r="S111" s="47" t="str">
        <x:f>IF(COUNTA($H111:$R111)=0,"Pending",IF(AND($A111&lt;&gt;"",$B111&lt;&gt;"",$C111&lt;&gt;"",$D111&lt;&gt;"",$E111&lt;&gt;"",$F111&lt;&gt;"",ISNUMBER($G111),$G111&gt;=1,ISNUMBER($H111),MOD($H111,1)=0,$H111&gt;=1,$H111&lt;=5,ISNUMBER($J111),MOD($J111,1)=0,$J111&gt;=1,$J111&lt;=5,ISNUMBER($L111),MOD($L111,1)=0,$L111&gt;=1,$L111&lt;=5,ISNUMBER($N111),$N111&gt;=0,$O111="",$P111&lt;&gt;"",$Q111&lt;&gt;"",$R111="runner_monotonic_complete"),"ScorableComplete",IF(AND($A111&lt;&gt;"",$B111&lt;&gt;"",$C111&lt;&gt;"",$D111&lt;&gt;"",$E111&lt;&gt;"",$F111&lt;&gt;"",ISNUMBER($G111),$G111&gt;=1,OR($O111="insufficient_source_evidence",$O111="operational_failure"),$H111="",$J111="",$L111="",$N111="",$Q111&lt;&gt;"",$R111="runner_monotonic_not_scorable"),"NotScorable","Partial")))</x:f>
        <x:v>Pending</x:v>
      </x:c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50"/>
      <x:c r="O112" s="44"/>
      <x:c r="P112" s="53"/>
      <x:c r="Q112" s="53"/>
      <x:c r="R112" s="44"/>
      <x:c r="S112" s="47" t="str">
        <x:f>IF(COUNTA($H112:$R112)=0,"Pending",IF(AND($A112&lt;&gt;"",$B112&lt;&gt;"",$C112&lt;&gt;"",$D112&lt;&gt;"",$E112&lt;&gt;"",$F112&lt;&gt;"",ISNUMBER($G112),$G112&gt;=1,ISNUMBER($H112),MOD($H112,1)=0,$H112&gt;=1,$H112&lt;=5,ISNUMBER($J112),MOD($J112,1)=0,$J112&gt;=1,$J112&lt;=5,ISNUMBER($L112),MOD($L112,1)=0,$L112&gt;=1,$L112&lt;=5,ISNUMBER($N112),$N112&gt;=0,$O112="",$P112&lt;&gt;"",$Q112&lt;&gt;"",$R112="runner_monotonic_complete"),"ScorableComplete",IF(AND($A112&lt;&gt;"",$B112&lt;&gt;"",$C112&lt;&gt;"",$D112&lt;&gt;"",$E112&lt;&gt;"",$F112&lt;&gt;"",ISNUMBER($G112),$G112&gt;=1,OR($O112="insufficient_source_evidence",$O112="operational_failure"),$H112="",$J112="",$L112="",$N112="",$Q112&lt;&gt;"",$R112="runner_monotonic_not_scorable"),"NotScorable","Partial")))</x:f>
        <x:v>Pending</x:v>
      </x:c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50"/>
      <x:c r="O113" s="44"/>
      <x:c r="P113" s="53"/>
      <x:c r="Q113" s="53"/>
      <x:c r="R113" s="44"/>
      <x:c r="S113" s="47" t="str">
        <x:f>IF(COUNTA($H113:$R113)=0,"Pending",IF(AND($A113&lt;&gt;"",$B113&lt;&gt;"",$C113&lt;&gt;"",$D113&lt;&gt;"",$E113&lt;&gt;"",$F113&lt;&gt;"",ISNUMBER($G113),$G113&gt;=1,ISNUMBER($H113),MOD($H113,1)=0,$H113&gt;=1,$H113&lt;=5,ISNUMBER($J113),MOD($J113,1)=0,$J113&gt;=1,$J113&lt;=5,ISNUMBER($L113),MOD($L113,1)=0,$L113&gt;=1,$L113&lt;=5,ISNUMBER($N113),$N113&gt;=0,$O113="",$P113&lt;&gt;"",$Q113&lt;&gt;"",$R113="runner_monotonic_complete"),"ScorableComplete",IF(AND($A113&lt;&gt;"",$B113&lt;&gt;"",$C113&lt;&gt;"",$D113&lt;&gt;"",$E113&lt;&gt;"",$F113&lt;&gt;"",ISNUMBER($G113),$G113&gt;=1,OR($O113="insufficient_source_evidence",$O113="operational_failure"),$H113="",$J113="",$L113="",$N113="",$Q113&lt;&gt;"",$R113="runner_monotonic_not_scorable"),"NotScorable","Partial")))</x:f>
        <x:v>Pending</x:v>
      </x:c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50"/>
      <x:c r="O114" s="44"/>
      <x:c r="P114" s="53"/>
      <x:c r="Q114" s="53"/>
      <x:c r="R114" s="44"/>
      <x:c r="S114" s="47" t="str">
        <x:f>IF(COUNTA($H114:$R114)=0,"Pending",IF(AND($A114&lt;&gt;"",$B114&lt;&gt;"",$C114&lt;&gt;"",$D114&lt;&gt;"",$E114&lt;&gt;"",$F114&lt;&gt;"",ISNUMBER($G114),$G114&gt;=1,ISNUMBER($H114),MOD($H114,1)=0,$H114&gt;=1,$H114&lt;=5,ISNUMBER($J114),MOD($J114,1)=0,$J114&gt;=1,$J114&lt;=5,ISNUMBER($L114),MOD($L114,1)=0,$L114&gt;=1,$L114&lt;=5,ISNUMBER($N114),$N114&gt;=0,$O114="",$P114&lt;&gt;"",$Q114&lt;&gt;"",$R114="runner_monotonic_complete"),"ScorableComplete",IF(AND($A114&lt;&gt;"",$B114&lt;&gt;"",$C114&lt;&gt;"",$D114&lt;&gt;"",$E114&lt;&gt;"",$F114&lt;&gt;"",ISNUMBER($G114),$G114&gt;=1,OR($O114="insufficient_source_evidence",$O114="operational_failure"),$H114="",$J114="",$L114="",$N114="",$Q114&lt;&gt;"",$R114="runner_monotonic_not_scorable"),"NotScorable","Partial")))</x:f>
        <x:v>Pending</x:v>
      </x:c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50"/>
      <x:c r="O115" s="44"/>
      <x:c r="P115" s="53"/>
      <x:c r="Q115" s="53"/>
      <x:c r="R115" s="44"/>
      <x:c r="S115" s="47" t="str">
        <x:f>IF(COUNTA($H115:$R115)=0,"Pending",IF(AND($A115&lt;&gt;"",$B115&lt;&gt;"",$C115&lt;&gt;"",$D115&lt;&gt;"",$E115&lt;&gt;"",$F115&lt;&gt;"",ISNUMBER($G115),$G115&gt;=1,ISNUMBER($H115),MOD($H115,1)=0,$H115&gt;=1,$H115&lt;=5,ISNUMBER($J115),MOD($J115,1)=0,$J115&gt;=1,$J115&lt;=5,ISNUMBER($L115),MOD($L115,1)=0,$L115&gt;=1,$L115&lt;=5,ISNUMBER($N115),$N115&gt;=0,$O115="",$P115&lt;&gt;"",$Q115&lt;&gt;"",$R115="runner_monotonic_complete"),"ScorableComplete",IF(AND($A115&lt;&gt;"",$B115&lt;&gt;"",$C115&lt;&gt;"",$D115&lt;&gt;"",$E115&lt;&gt;"",$F115&lt;&gt;"",ISNUMBER($G115),$G115&gt;=1,OR($O115="insufficient_source_evidence",$O115="operational_failure"),$H115="",$J115="",$L115="",$N115="",$Q115&lt;&gt;"",$R115="runner_monotonic_not_scorable"),"NotScorable","Partial")))</x:f>
        <x:v>Pending</x:v>
      </x:c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50"/>
      <x:c r="O116" s="44"/>
      <x:c r="P116" s="53"/>
      <x:c r="Q116" s="53"/>
      <x:c r="R116" s="44"/>
      <x:c r="S116" s="47" t="str">
        <x:f>IF(COUNTA($H116:$R116)=0,"Pending",IF(AND($A116&lt;&gt;"",$B116&lt;&gt;"",$C116&lt;&gt;"",$D116&lt;&gt;"",$E116&lt;&gt;"",$F116&lt;&gt;"",ISNUMBER($G116),$G116&gt;=1,ISNUMBER($H116),MOD($H116,1)=0,$H116&gt;=1,$H116&lt;=5,ISNUMBER($J116),MOD($J116,1)=0,$J116&gt;=1,$J116&lt;=5,ISNUMBER($L116),MOD($L116,1)=0,$L116&gt;=1,$L116&lt;=5,ISNUMBER($N116),$N116&gt;=0,$O116="",$P116&lt;&gt;"",$Q116&lt;&gt;"",$R116="runner_monotonic_complete"),"ScorableComplete",IF(AND($A116&lt;&gt;"",$B116&lt;&gt;"",$C116&lt;&gt;"",$D116&lt;&gt;"",$E116&lt;&gt;"",$F116&lt;&gt;"",ISNUMBER($G116),$G116&gt;=1,OR($O116="insufficient_source_evidence",$O116="operational_failure"),$H116="",$J116="",$L116="",$N116="",$Q116&lt;&gt;"",$R116="runner_monotonic_not_scorable"),"NotScorable","Partial")))</x:f>
        <x:v>Pending</x:v>
      </x:c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50"/>
      <x:c r="O117" s="44"/>
      <x:c r="P117" s="53"/>
      <x:c r="Q117" s="53"/>
      <x:c r="R117" s="44"/>
      <x:c r="S117" s="47" t="str">
        <x:f>IF(COUNTA($H117:$R117)=0,"Pending",IF(AND($A117&lt;&gt;"",$B117&lt;&gt;"",$C117&lt;&gt;"",$D117&lt;&gt;"",$E117&lt;&gt;"",$F117&lt;&gt;"",ISNUMBER($G117),$G117&gt;=1,ISNUMBER($H117),MOD($H117,1)=0,$H117&gt;=1,$H117&lt;=5,ISNUMBER($J117),MOD($J117,1)=0,$J117&gt;=1,$J117&lt;=5,ISNUMBER($L117),MOD($L117,1)=0,$L117&gt;=1,$L117&lt;=5,ISNUMBER($N117),$N117&gt;=0,$O117="",$P117&lt;&gt;"",$Q117&lt;&gt;"",$R117="runner_monotonic_complete"),"ScorableComplete",IF(AND($A117&lt;&gt;"",$B117&lt;&gt;"",$C117&lt;&gt;"",$D117&lt;&gt;"",$E117&lt;&gt;"",$F117&lt;&gt;"",ISNUMBER($G117),$G117&gt;=1,OR($O117="insufficient_source_evidence",$O117="operational_failure"),$H117="",$J117="",$L117="",$N117="",$Q117&lt;&gt;"",$R117="runner_monotonic_not_scorable"),"NotScorable","Partial")))</x:f>
        <x:v>Pending</x:v>
      </x:c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50"/>
      <x:c r="O118" s="44"/>
      <x:c r="P118" s="53"/>
      <x:c r="Q118" s="53"/>
      <x:c r="R118" s="44"/>
      <x:c r="S118" s="47" t="str">
        <x:f>IF(COUNTA($H118:$R118)=0,"Pending",IF(AND($A118&lt;&gt;"",$B118&lt;&gt;"",$C118&lt;&gt;"",$D118&lt;&gt;"",$E118&lt;&gt;"",$F118&lt;&gt;"",ISNUMBER($G118),$G118&gt;=1,ISNUMBER($H118),MOD($H118,1)=0,$H118&gt;=1,$H118&lt;=5,ISNUMBER($J118),MOD($J118,1)=0,$J118&gt;=1,$J118&lt;=5,ISNUMBER($L118),MOD($L118,1)=0,$L118&gt;=1,$L118&lt;=5,ISNUMBER($N118),$N118&gt;=0,$O118="",$P118&lt;&gt;"",$Q118&lt;&gt;"",$R118="runner_monotonic_complete"),"ScorableComplete",IF(AND($A118&lt;&gt;"",$B118&lt;&gt;"",$C118&lt;&gt;"",$D118&lt;&gt;"",$E118&lt;&gt;"",$F118&lt;&gt;"",ISNUMBER($G118),$G118&gt;=1,OR($O118="insufficient_source_evidence",$O118="operational_failure"),$H118="",$J118="",$L118="",$N118="",$Q118&lt;&gt;"",$R118="runner_monotonic_not_scorable"),"NotScorable","Partial")))</x:f>
        <x:v>Pending</x:v>
      </x:c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50"/>
      <x:c r="O119" s="44"/>
      <x:c r="P119" s="53"/>
      <x:c r="Q119" s="53"/>
      <x:c r="R119" s="44"/>
      <x:c r="S119" s="47" t="str">
        <x:f>IF(COUNTA($H119:$R119)=0,"Pending",IF(AND($A119&lt;&gt;"",$B119&lt;&gt;"",$C119&lt;&gt;"",$D119&lt;&gt;"",$E119&lt;&gt;"",$F119&lt;&gt;"",ISNUMBER($G119),$G119&gt;=1,ISNUMBER($H119),MOD($H119,1)=0,$H119&gt;=1,$H119&lt;=5,ISNUMBER($J119),MOD($J119,1)=0,$J119&gt;=1,$J119&lt;=5,ISNUMBER($L119),MOD($L119,1)=0,$L119&gt;=1,$L119&lt;=5,ISNUMBER($N119),$N119&gt;=0,$O119="",$P119&lt;&gt;"",$Q119&lt;&gt;"",$R119="runner_monotonic_complete"),"ScorableComplete",IF(AND($A119&lt;&gt;"",$B119&lt;&gt;"",$C119&lt;&gt;"",$D119&lt;&gt;"",$E119&lt;&gt;"",$F119&lt;&gt;"",ISNUMBER($G119),$G119&gt;=1,OR($O119="insufficient_source_evidence",$O119="operational_failure"),$H119="",$J119="",$L119="",$N119="",$Q119&lt;&gt;"",$R119="runner_monotonic_not_scorable"),"NotScorable","Partial")))</x:f>
        <x:v>Pending</x:v>
      </x:c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50"/>
      <x:c r="O120" s="44"/>
      <x:c r="P120" s="53"/>
      <x:c r="Q120" s="53"/>
      <x:c r="R120" s="44"/>
      <x:c r="S120" s="47" t="str">
        <x:f>IF(COUNTA($H120:$R120)=0,"Pending",IF(AND($A120&lt;&gt;"",$B120&lt;&gt;"",$C120&lt;&gt;"",$D120&lt;&gt;"",$E120&lt;&gt;"",$F120&lt;&gt;"",ISNUMBER($G120),$G120&gt;=1,ISNUMBER($H120),MOD($H120,1)=0,$H120&gt;=1,$H120&lt;=5,ISNUMBER($J120),MOD($J120,1)=0,$J120&gt;=1,$J120&lt;=5,ISNUMBER($L120),MOD($L120,1)=0,$L120&gt;=1,$L120&lt;=5,ISNUMBER($N120),$N120&gt;=0,$O120="",$P120&lt;&gt;"",$Q120&lt;&gt;"",$R120="runner_monotonic_complete"),"ScorableComplete",IF(AND($A120&lt;&gt;"",$B120&lt;&gt;"",$C120&lt;&gt;"",$D120&lt;&gt;"",$E120&lt;&gt;"",$F120&lt;&gt;"",ISNUMBER($G120),$G120&gt;=1,OR($O120="insufficient_source_evidence",$O120="operational_failure"),$H120="",$J120="",$L120="",$N120="",$Q120&lt;&gt;"",$R120="runner_monotonic_not_scorable"),"NotScorable","Partial")))</x:f>
        <x:v>Pending</x:v>
      </x:c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50"/>
      <x:c r="O121" s="44"/>
      <x:c r="P121" s="53"/>
      <x:c r="Q121" s="53"/>
      <x:c r="R121" s="44"/>
      <x:c r="S121" s="47" t="str">
        <x:f>IF(COUNTA($H121:$R121)=0,"Pending",IF(AND($A121&lt;&gt;"",$B121&lt;&gt;"",$C121&lt;&gt;"",$D121&lt;&gt;"",$E121&lt;&gt;"",$F121&lt;&gt;"",ISNUMBER($G121),$G121&gt;=1,ISNUMBER($H121),MOD($H121,1)=0,$H121&gt;=1,$H121&lt;=5,ISNUMBER($J121),MOD($J121,1)=0,$J121&gt;=1,$J121&lt;=5,ISNUMBER($L121),MOD($L121,1)=0,$L121&gt;=1,$L121&lt;=5,ISNUMBER($N121),$N121&gt;=0,$O121="",$P121&lt;&gt;"",$Q121&lt;&gt;"",$R121="runner_monotonic_complete"),"ScorableComplete",IF(AND($A121&lt;&gt;"",$B121&lt;&gt;"",$C121&lt;&gt;"",$D121&lt;&gt;"",$E121&lt;&gt;"",$F121&lt;&gt;"",ISNUMBER($G121),$G121&gt;=1,OR($O121="insufficient_source_evidence",$O121="operational_failure"),$H121="",$J121="",$L121="",$N121="",$Q121&lt;&gt;"",$R121="runner_monotonic_not_scorable"),"NotScorable","Partial")))</x:f>
        <x:v>Pending</x:v>
      </x:c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50"/>
      <x:c r="O122" s="44"/>
      <x:c r="P122" s="53"/>
      <x:c r="Q122" s="53"/>
      <x:c r="R122" s="44"/>
      <x:c r="S122" s="47" t="str">
        <x:f>IF(COUNTA($H122:$R122)=0,"Pending",IF(AND($A122&lt;&gt;"",$B122&lt;&gt;"",$C122&lt;&gt;"",$D122&lt;&gt;"",$E122&lt;&gt;"",$F122&lt;&gt;"",ISNUMBER($G122),$G122&gt;=1,ISNUMBER($H122),MOD($H122,1)=0,$H122&gt;=1,$H122&lt;=5,ISNUMBER($J122),MOD($J122,1)=0,$J122&gt;=1,$J122&lt;=5,ISNUMBER($L122),MOD($L122,1)=0,$L122&gt;=1,$L122&lt;=5,ISNUMBER($N122),$N122&gt;=0,$O122="",$P122&lt;&gt;"",$Q122&lt;&gt;"",$R122="runner_monotonic_complete"),"ScorableComplete",IF(AND($A122&lt;&gt;"",$B122&lt;&gt;"",$C122&lt;&gt;"",$D122&lt;&gt;"",$E122&lt;&gt;"",$F122&lt;&gt;"",ISNUMBER($G122),$G122&gt;=1,OR($O122="insufficient_source_evidence",$O122="operational_failure"),$H122="",$J122="",$L122="",$N122="",$Q122&lt;&gt;"",$R122="runner_monotonic_not_scorable"),"NotScorable","Partial")))</x:f>
        <x:v>Pending</x:v>
      </x:c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50"/>
      <x:c r="O123" s="44"/>
      <x:c r="P123" s="53"/>
      <x:c r="Q123" s="53"/>
      <x:c r="R123" s="44"/>
      <x:c r="S123" s="47" t="str">
        <x:f>IF(COUNTA($H123:$R123)=0,"Pending",IF(AND($A123&lt;&gt;"",$B123&lt;&gt;"",$C123&lt;&gt;"",$D123&lt;&gt;"",$E123&lt;&gt;"",$F123&lt;&gt;"",ISNUMBER($G123),$G123&gt;=1,ISNUMBER($H123),MOD($H123,1)=0,$H123&gt;=1,$H123&lt;=5,ISNUMBER($J123),MOD($J123,1)=0,$J123&gt;=1,$J123&lt;=5,ISNUMBER($L123),MOD($L123,1)=0,$L123&gt;=1,$L123&lt;=5,ISNUMBER($N123),$N123&gt;=0,$O123="",$P123&lt;&gt;"",$Q123&lt;&gt;"",$R123="runner_monotonic_complete"),"ScorableComplete",IF(AND($A123&lt;&gt;"",$B123&lt;&gt;"",$C123&lt;&gt;"",$D123&lt;&gt;"",$E123&lt;&gt;"",$F123&lt;&gt;"",ISNUMBER($G123),$G123&gt;=1,OR($O123="insufficient_source_evidence",$O123="operational_failure"),$H123="",$J123="",$L123="",$N123="",$Q123&lt;&gt;"",$R123="runner_monotonic_not_scorable"),"NotScorable","Partial")))</x:f>
        <x:v>Pending</x:v>
      </x:c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50"/>
      <x:c r="O124" s="44"/>
      <x:c r="P124" s="53"/>
      <x:c r="Q124" s="53"/>
      <x:c r="R124" s="44"/>
      <x:c r="S124" s="47" t="str">
        <x:f>IF(COUNTA($H124:$R124)=0,"Pending",IF(AND($A124&lt;&gt;"",$B124&lt;&gt;"",$C124&lt;&gt;"",$D124&lt;&gt;"",$E124&lt;&gt;"",$F124&lt;&gt;"",ISNUMBER($G124),$G124&gt;=1,ISNUMBER($H124),MOD($H124,1)=0,$H124&gt;=1,$H124&lt;=5,ISNUMBER($J124),MOD($J124,1)=0,$J124&gt;=1,$J124&lt;=5,ISNUMBER($L124),MOD($L124,1)=0,$L124&gt;=1,$L124&lt;=5,ISNUMBER($N124),$N124&gt;=0,$O124="",$P124&lt;&gt;"",$Q124&lt;&gt;"",$R124="runner_monotonic_complete"),"ScorableComplete",IF(AND($A124&lt;&gt;"",$B124&lt;&gt;"",$C124&lt;&gt;"",$D124&lt;&gt;"",$E124&lt;&gt;"",$F124&lt;&gt;"",ISNUMBER($G124),$G124&gt;=1,OR($O124="insufficient_source_evidence",$O124="operational_failure"),$H124="",$J124="",$L124="",$N124="",$Q124&lt;&gt;"",$R124="runner_monotonic_not_scorable"),"NotScorable","Partial")))</x:f>
        <x:v>Pending</x:v>
      </x:c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50"/>
      <x:c r="O125" s="44"/>
      <x:c r="P125" s="53"/>
      <x:c r="Q125" s="53"/>
      <x:c r="R125" s="44"/>
      <x:c r="S125" s="47" t="str">
        <x:f>IF(COUNTA($H125:$R125)=0,"Pending",IF(AND($A125&lt;&gt;"",$B125&lt;&gt;"",$C125&lt;&gt;"",$D125&lt;&gt;"",$E125&lt;&gt;"",$F125&lt;&gt;"",ISNUMBER($G125),$G125&gt;=1,ISNUMBER($H125),MOD($H125,1)=0,$H125&gt;=1,$H125&lt;=5,ISNUMBER($J125),MOD($J125,1)=0,$J125&gt;=1,$J125&lt;=5,ISNUMBER($L125),MOD($L125,1)=0,$L125&gt;=1,$L125&lt;=5,ISNUMBER($N125),$N125&gt;=0,$O125="",$P125&lt;&gt;"",$Q125&lt;&gt;"",$R125="runner_monotonic_complete"),"ScorableComplete",IF(AND($A125&lt;&gt;"",$B125&lt;&gt;"",$C125&lt;&gt;"",$D125&lt;&gt;"",$E125&lt;&gt;"",$F125&lt;&gt;"",ISNUMBER($G125),$G125&gt;=1,OR($O125="insufficient_source_evidence",$O125="operational_failure"),$H125="",$J125="",$L125="",$N125="",$Q125&lt;&gt;"",$R125="runner_monotonic_not_scorable"),"NotScorable","Partial")))</x:f>
        <x:v>Pending</x:v>
      </x:c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50"/>
      <x:c r="O126" s="44"/>
      <x:c r="P126" s="53"/>
      <x:c r="Q126" s="53"/>
      <x:c r="R126" s="44"/>
      <x:c r="S126" s="47" t="str">
        <x:f>IF(COUNTA($H126:$R126)=0,"Pending",IF(AND($A126&lt;&gt;"",$B126&lt;&gt;"",$C126&lt;&gt;"",$D126&lt;&gt;"",$E126&lt;&gt;"",$F126&lt;&gt;"",ISNUMBER($G126),$G126&gt;=1,ISNUMBER($H126),MOD($H126,1)=0,$H126&gt;=1,$H126&lt;=5,ISNUMBER($J126),MOD($J126,1)=0,$J126&gt;=1,$J126&lt;=5,ISNUMBER($L126),MOD($L126,1)=0,$L126&gt;=1,$L126&lt;=5,ISNUMBER($N126),$N126&gt;=0,$O126="",$P126&lt;&gt;"",$Q126&lt;&gt;"",$R126="runner_monotonic_complete"),"ScorableComplete",IF(AND($A126&lt;&gt;"",$B126&lt;&gt;"",$C126&lt;&gt;"",$D126&lt;&gt;"",$E126&lt;&gt;"",$F126&lt;&gt;"",ISNUMBER($G126),$G126&gt;=1,OR($O126="insufficient_source_evidence",$O126="operational_failure"),$H126="",$J126="",$L126="",$N126="",$Q126&lt;&gt;"",$R126="runner_monotonic_not_scorable"),"NotScorable","Partial")))</x:f>
        <x:v>Pending</x:v>
      </x:c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50"/>
      <x:c r="O127" s="44"/>
      <x:c r="P127" s="53"/>
      <x:c r="Q127" s="53"/>
      <x:c r="R127" s="44"/>
      <x:c r="S127" s="47" t="str">
        <x:f>IF(COUNTA($H127:$R127)=0,"Pending",IF(AND($A127&lt;&gt;"",$B127&lt;&gt;"",$C127&lt;&gt;"",$D127&lt;&gt;"",$E127&lt;&gt;"",$F127&lt;&gt;"",ISNUMBER($G127),$G127&gt;=1,ISNUMBER($H127),MOD($H127,1)=0,$H127&gt;=1,$H127&lt;=5,ISNUMBER($J127),MOD($J127,1)=0,$J127&gt;=1,$J127&lt;=5,ISNUMBER($L127),MOD($L127,1)=0,$L127&gt;=1,$L127&lt;=5,ISNUMBER($N127),$N127&gt;=0,$O127="",$P127&lt;&gt;"",$Q127&lt;&gt;"",$R127="runner_monotonic_complete"),"ScorableComplete",IF(AND($A127&lt;&gt;"",$B127&lt;&gt;"",$C127&lt;&gt;"",$D127&lt;&gt;"",$E127&lt;&gt;"",$F127&lt;&gt;"",ISNUMBER($G127),$G127&gt;=1,OR($O127="insufficient_source_evidence",$O127="operational_failure"),$H127="",$J127="",$L127="",$N127="",$Q127&lt;&gt;"",$R127="runner_monotonic_not_scorable"),"NotScorable","Partial")))</x:f>
        <x:v>Pending</x:v>
      </x:c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50"/>
      <x:c r="O128" s="44"/>
      <x:c r="P128" s="53"/>
      <x:c r="Q128" s="53"/>
      <x:c r="R128" s="44"/>
      <x:c r="S128" s="47" t="str">
        <x:f>IF(COUNTA($H128:$R128)=0,"Pending",IF(AND($A128&lt;&gt;"",$B128&lt;&gt;"",$C128&lt;&gt;"",$D128&lt;&gt;"",$E128&lt;&gt;"",$F128&lt;&gt;"",ISNUMBER($G128),$G128&gt;=1,ISNUMBER($H128),MOD($H128,1)=0,$H128&gt;=1,$H128&lt;=5,ISNUMBER($J128),MOD($J128,1)=0,$J128&gt;=1,$J128&lt;=5,ISNUMBER($L128),MOD($L128,1)=0,$L128&gt;=1,$L128&lt;=5,ISNUMBER($N128),$N128&gt;=0,$O128="",$P128&lt;&gt;"",$Q128&lt;&gt;"",$R128="runner_monotonic_complete"),"ScorableComplete",IF(AND($A128&lt;&gt;"",$B128&lt;&gt;"",$C128&lt;&gt;"",$D128&lt;&gt;"",$E128&lt;&gt;"",$F128&lt;&gt;"",ISNUMBER($G128),$G128&gt;=1,OR($O128="insufficient_source_evidence",$O128="operational_failure"),$H128="",$J128="",$L128="",$N128="",$Q128&lt;&gt;"",$R128="runner_monotonic_not_scorable"),"NotScorable","Partial")))</x:f>
        <x:v>Pending</x:v>
      </x:c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50"/>
      <x:c r="O129" s="44"/>
      <x:c r="P129" s="53"/>
      <x:c r="Q129" s="53"/>
      <x:c r="R129" s="44"/>
      <x:c r="S129" s="47" t="str">
        <x:f>IF(COUNTA($H129:$R129)=0,"Pending",IF(AND($A129&lt;&gt;"",$B129&lt;&gt;"",$C129&lt;&gt;"",$D129&lt;&gt;"",$E129&lt;&gt;"",$F129&lt;&gt;"",ISNUMBER($G129),$G129&gt;=1,ISNUMBER($H129),MOD($H129,1)=0,$H129&gt;=1,$H129&lt;=5,ISNUMBER($J129),MOD($J129,1)=0,$J129&gt;=1,$J129&lt;=5,ISNUMBER($L129),MOD($L129,1)=0,$L129&gt;=1,$L129&lt;=5,ISNUMBER($N129),$N129&gt;=0,$O129="",$P129&lt;&gt;"",$Q129&lt;&gt;"",$R129="runner_monotonic_complete"),"ScorableComplete",IF(AND($A129&lt;&gt;"",$B129&lt;&gt;"",$C129&lt;&gt;"",$D129&lt;&gt;"",$E129&lt;&gt;"",$F129&lt;&gt;"",ISNUMBER($G129),$G129&gt;=1,OR($O129="insufficient_source_evidence",$O129="operational_failure"),$H129="",$J129="",$L129="",$N129="",$Q129&lt;&gt;"",$R129="runner_monotonic_not_scorable"),"NotScorable","Partial")))</x:f>
        <x:v>Pending</x:v>
      </x:c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50"/>
      <x:c r="O130" s="44"/>
      <x:c r="P130" s="53"/>
      <x:c r="Q130" s="53"/>
      <x:c r="R130" s="44"/>
      <x:c r="S130" s="47" t="str">
        <x:f>IF(COUNTA($H130:$R130)=0,"Pending",IF(AND($A130&lt;&gt;"",$B130&lt;&gt;"",$C130&lt;&gt;"",$D130&lt;&gt;"",$E130&lt;&gt;"",$F130&lt;&gt;"",ISNUMBER($G130),$G130&gt;=1,ISNUMBER($H130),MOD($H130,1)=0,$H130&gt;=1,$H130&lt;=5,ISNUMBER($J130),MOD($J130,1)=0,$J130&gt;=1,$J130&lt;=5,ISNUMBER($L130),MOD($L130,1)=0,$L130&gt;=1,$L130&lt;=5,ISNUMBER($N130),$N130&gt;=0,$O130="",$P130&lt;&gt;"",$Q130&lt;&gt;"",$R130="runner_monotonic_complete"),"ScorableComplete",IF(AND($A130&lt;&gt;"",$B130&lt;&gt;"",$C130&lt;&gt;"",$D130&lt;&gt;"",$E130&lt;&gt;"",$F130&lt;&gt;"",ISNUMBER($G130),$G130&gt;=1,OR($O130="insufficient_source_evidence",$O130="operational_failure"),$H130="",$J130="",$L130="",$N130="",$Q130&lt;&gt;"",$R130="runner_monotonic_not_scorable"),"NotScorable","Partial")))</x:f>
        <x:v>Pending</x:v>
      </x:c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50"/>
      <x:c r="O131" s="44"/>
      <x:c r="P131" s="53"/>
      <x:c r="Q131" s="53"/>
      <x:c r="R131" s="44"/>
      <x:c r="S131" s="47" t="str">
        <x:f>IF(COUNTA($H131:$R131)=0,"Pending",IF(AND($A131&lt;&gt;"",$B131&lt;&gt;"",$C131&lt;&gt;"",$D131&lt;&gt;"",$E131&lt;&gt;"",$F131&lt;&gt;"",ISNUMBER($G131),$G131&gt;=1,ISNUMBER($H131),MOD($H131,1)=0,$H131&gt;=1,$H131&lt;=5,ISNUMBER($J131),MOD($J131,1)=0,$J131&gt;=1,$J131&lt;=5,ISNUMBER($L131),MOD($L131,1)=0,$L131&gt;=1,$L131&lt;=5,ISNUMBER($N131),$N131&gt;=0,$O131="",$P131&lt;&gt;"",$Q131&lt;&gt;"",$R131="runner_monotonic_complete"),"ScorableComplete",IF(AND($A131&lt;&gt;"",$B131&lt;&gt;"",$C131&lt;&gt;"",$D131&lt;&gt;"",$E131&lt;&gt;"",$F131&lt;&gt;"",ISNUMBER($G131),$G131&gt;=1,OR($O131="insufficient_source_evidence",$O131="operational_failure"),$H131="",$J131="",$L131="",$N131="",$Q131&lt;&gt;"",$R131="runner_monotonic_not_scorable"),"NotScorable","Partial")))</x:f>
        <x:v>Pending</x:v>
      </x:c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50"/>
      <x:c r="O132" s="44"/>
      <x:c r="P132" s="53"/>
      <x:c r="Q132" s="53"/>
      <x:c r="R132" s="44"/>
      <x:c r="S132" s="47" t="str">
        <x:f>IF(COUNTA($H132:$R132)=0,"Pending",IF(AND($A132&lt;&gt;"",$B132&lt;&gt;"",$C132&lt;&gt;"",$D132&lt;&gt;"",$E132&lt;&gt;"",$F132&lt;&gt;"",ISNUMBER($G132),$G132&gt;=1,ISNUMBER($H132),MOD($H132,1)=0,$H132&gt;=1,$H132&lt;=5,ISNUMBER($J132),MOD($J132,1)=0,$J132&gt;=1,$J132&lt;=5,ISNUMBER($L132),MOD($L132,1)=0,$L132&gt;=1,$L132&lt;=5,ISNUMBER($N132),$N132&gt;=0,$O132="",$P132&lt;&gt;"",$Q132&lt;&gt;"",$R132="runner_monotonic_complete"),"ScorableComplete",IF(AND($A132&lt;&gt;"",$B132&lt;&gt;"",$C132&lt;&gt;"",$D132&lt;&gt;"",$E132&lt;&gt;"",$F132&lt;&gt;"",ISNUMBER($G132),$G132&gt;=1,OR($O132="insufficient_source_evidence",$O132="operational_failure"),$H132="",$J132="",$L132="",$N132="",$Q132&lt;&gt;"",$R132="runner_monotonic_not_scorable"),"NotScorable","Partial")))</x:f>
        <x:v>Pending</x:v>
      </x:c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50"/>
      <x:c r="O133" s="44"/>
      <x:c r="P133" s="53"/>
      <x:c r="Q133" s="53"/>
      <x:c r="R133" s="44"/>
      <x:c r="S133" s="47" t="str">
        <x:f>IF(COUNTA($H133:$R133)=0,"Pending",IF(AND($A133&lt;&gt;"",$B133&lt;&gt;"",$C133&lt;&gt;"",$D133&lt;&gt;"",$E133&lt;&gt;"",$F133&lt;&gt;"",ISNUMBER($G133),$G133&gt;=1,ISNUMBER($H133),MOD($H133,1)=0,$H133&gt;=1,$H133&lt;=5,ISNUMBER($J133),MOD($J133,1)=0,$J133&gt;=1,$J133&lt;=5,ISNUMBER($L133),MOD($L133,1)=0,$L133&gt;=1,$L133&lt;=5,ISNUMBER($N133),$N133&gt;=0,$O133="",$P133&lt;&gt;"",$Q133&lt;&gt;"",$R133="runner_monotonic_complete"),"ScorableComplete",IF(AND($A133&lt;&gt;"",$B133&lt;&gt;"",$C133&lt;&gt;"",$D133&lt;&gt;"",$E133&lt;&gt;"",$F133&lt;&gt;"",ISNUMBER($G133),$G133&gt;=1,OR($O133="insufficient_source_evidence",$O133="operational_failure"),$H133="",$J133="",$L133="",$N133="",$Q133&lt;&gt;"",$R133="runner_monotonic_not_scorable"),"NotScorable","Partial")))</x:f>
        <x:v>Pending</x:v>
      </x:c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50"/>
      <x:c r="O134" s="44"/>
      <x:c r="P134" s="53"/>
      <x:c r="Q134" s="53"/>
      <x:c r="R134" s="44"/>
      <x:c r="S134" s="47" t="str">
        <x:f>IF(COUNTA($H134:$R134)=0,"Pending",IF(AND($A134&lt;&gt;"",$B134&lt;&gt;"",$C134&lt;&gt;"",$D134&lt;&gt;"",$E134&lt;&gt;"",$F134&lt;&gt;"",ISNUMBER($G134),$G134&gt;=1,ISNUMBER($H134),MOD($H134,1)=0,$H134&gt;=1,$H134&lt;=5,ISNUMBER($J134),MOD($J134,1)=0,$J134&gt;=1,$J134&lt;=5,ISNUMBER($L134),MOD($L134,1)=0,$L134&gt;=1,$L134&lt;=5,ISNUMBER($N134),$N134&gt;=0,$O134="",$P134&lt;&gt;"",$Q134&lt;&gt;"",$R134="runner_monotonic_complete"),"ScorableComplete",IF(AND($A134&lt;&gt;"",$B134&lt;&gt;"",$C134&lt;&gt;"",$D134&lt;&gt;"",$E134&lt;&gt;"",$F134&lt;&gt;"",ISNUMBER($G134),$G134&gt;=1,OR($O134="insufficient_source_evidence",$O134="operational_failure"),$H134="",$J134="",$L134="",$N134="",$Q134&lt;&gt;"",$R134="runner_monotonic_not_scorable"),"NotScorable","Partial")))</x:f>
        <x:v>Pending</x:v>
      </x:c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50"/>
      <x:c r="O135" s="44"/>
      <x:c r="P135" s="53"/>
      <x:c r="Q135" s="53"/>
      <x:c r="R135" s="44"/>
      <x:c r="S135" s="47" t="str">
        <x:f>IF(COUNTA($H135:$R135)=0,"Pending",IF(AND($A135&lt;&gt;"",$B135&lt;&gt;"",$C135&lt;&gt;"",$D135&lt;&gt;"",$E135&lt;&gt;"",$F135&lt;&gt;"",ISNUMBER($G135),$G135&gt;=1,ISNUMBER($H135),MOD($H135,1)=0,$H135&gt;=1,$H135&lt;=5,ISNUMBER($J135),MOD($J135,1)=0,$J135&gt;=1,$J135&lt;=5,ISNUMBER($L135),MOD($L135,1)=0,$L135&gt;=1,$L135&lt;=5,ISNUMBER($N135),$N135&gt;=0,$O135="",$P135&lt;&gt;"",$Q135&lt;&gt;"",$R135="runner_monotonic_complete"),"ScorableComplete",IF(AND($A135&lt;&gt;"",$B135&lt;&gt;"",$C135&lt;&gt;"",$D135&lt;&gt;"",$E135&lt;&gt;"",$F135&lt;&gt;"",ISNUMBER($G135),$G135&gt;=1,OR($O135="insufficient_source_evidence",$O135="operational_failure"),$H135="",$J135="",$L135="",$N135="",$Q135&lt;&gt;"",$R135="runner_monotonic_not_scorable"),"NotScorable","Partial")))</x:f>
        <x:v>Pending</x:v>
      </x:c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50"/>
      <x:c r="O136" s="44"/>
      <x:c r="P136" s="53"/>
      <x:c r="Q136" s="53"/>
      <x:c r="R136" s="44"/>
      <x:c r="S136" s="47" t="str">
        <x:f>IF(COUNTA($H136:$R136)=0,"Pending",IF(AND($A136&lt;&gt;"",$B136&lt;&gt;"",$C136&lt;&gt;"",$D136&lt;&gt;"",$E136&lt;&gt;"",$F136&lt;&gt;"",ISNUMBER($G136),$G136&gt;=1,ISNUMBER($H136),MOD($H136,1)=0,$H136&gt;=1,$H136&lt;=5,ISNUMBER($J136),MOD($J136,1)=0,$J136&gt;=1,$J136&lt;=5,ISNUMBER($L136),MOD($L136,1)=0,$L136&gt;=1,$L136&lt;=5,ISNUMBER($N136),$N136&gt;=0,$O136="",$P136&lt;&gt;"",$Q136&lt;&gt;"",$R136="runner_monotonic_complete"),"ScorableComplete",IF(AND($A136&lt;&gt;"",$B136&lt;&gt;"",$C136&lt;&gt;"",$D136&lt;&gt;"",$E136&lt;&gt;"",$F136&lt;&gt;"",ISNUMBER($G136),$G136&gt;=1,OR($O136="insufficient_source_evidence",$O136="operational_failure"),$H136="",$J136="",$L136="",$N136="",$Q136&lt;&gt;"",$R136="runner_monotonic_not_scorable"),"NotScorable","Partial")))</x:f>
        <x:v>Pending</x:v>
      </x:c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50"/>
      <x:c r="O137" s="44"/>
      <x:c r="P137" s="53"/>
      <x:c r="Q137" s="53"/>
      <x:c r="R137" s="44"/>
      <x:c r="S137" s="47" t="str">
        <x:f>IF(COUNTA($H137:$R137)=0,"Pending",IF(AND($A137&lt;&gt;"",$B137&lt;&gt;"",$C137&lt;&gt;"",$D137&lt;&gt;"",$E137&lt;&gt;"",$F137&lt;&gt;"",ISNUMBER($G137),$G137&gt;=1,ISNUMBER($H137),MOD($H137,1)=0,$H137&gt;=1,$H137&lt;=5,ISNUMBER($J137),MOD($J137,1)=0,$J137&gt;=1,$J137&lt;=5,ISNUMBER($L137),MOD($L137,1)=0,$L137&gt;=1,$L137&lt;=5,ISNUMBER($N137),$N137&gt;=0,$O137="",$P137&lt;&gt;"",$Q137&lt;&gt;"",$R137="runner_monotonic_complete"),"ScorableComplete",IF(AND($A137&lt;&gt;"",$B137&lt;&gt;"",$C137&lt;&gt;"",$D137&lt;&gt;"",$E137&lt;&gt;"",$F137&lt;&gt;"",ISNUMBER($G137),$G137&gt;=1,OR($O137="insufficient_source_evidence",$O137="operational_failure"),$H137="",$J137="",$L137="",$N137="",$Q137&lt;&gt;"",$R137="runner_monotonic_not_scorable"),"NotScorable","Partial")))</x:f>
        <x:v>Pending</x:v>
      </x:c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50"/>
      <x:c r="O138" s="44"/>
      <x:c r="P138" s="53"/>
      <x:c r="Q138" s="53"/>
      <x:c r="R138" s="44"/>
      <x:c r="S138" s="47" t="str">
        <x:f>IF(COUNTA($H138:$R138)=0,"Pending",IF(AND($A138&lt;&gt;"",$B138&lt;&gt;"",$C138&lt;&gt;"",$D138&lt;&gt;"",$E138&lt;&gt;"",$F138&lt;&gt;"",ISNUMBER($G138),$G138&gt;=1,ISNUMBER($H138),MOD($H138,1)=0,$H138&gt;=1,$H138&lt;=5,ISNUMBER($J138),MOD($J138,1)=0,$J138&gt;=1,$J138&lt;=5,ISNUMBER($L138),MOD($L138,1)=0,$L138&gt;=1,$L138&lt;=5,ISNUMBER($N138),$N138&gt;=0,$O138="",$P138&lt;&gt;"",$Q138&lt;&gt;"",$R138="runner_monotonic_complete"),"ScorableComplete",IF(AND($A138&lt;&gt;"",$B138&lt;&gt;"",$C138&lt;&gt;"",$D138&lt;&gt;"",$E138&lt;&gt;"",$F138&lt;&gt;"",ISNUMBER($G138),$G138&gt;=1,OR($O138="insufficient_source_evidence",$O138="operational_failure"),$H138="",$J138="",$L138="",$N138="",$Q138&lt;&gt;"",$R138="runner_monotonic_not_scorable"),"NotScorable","Partial")))</x:f>
        <x:v>Pending</x:v>
      </x:c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50"/>
      <x:c r="O139" s="44"/>
      <x:c r="P139" s="53"/>
      <x:c r="Q139" s="53"/>
      <x:c r="R139" s="44"/>
      <x:c r="S139" s="47" t="str">
        <x:f>IF(COUNTA($H139:$R139)=0,"Pending",IF(AND($A139&lt;&gt;"",$B139&lt;&gt;"",$C139&lt;&gt;"",$D139&lt;&gt;"",$E139&lt;&gt;"",$F139&lt;&gt;"",ISNUMBER($G139),$G139&gt;=1,ISNUMBER($H139),MOD($H139,1)=0,$H139&gt;=1,$H139&lt;=5,ISNUMBER($J139),MOD($J139,1)=0,$J139&gt;=1,$J139&lt;=5,ISNUMBER($L139),MOD($L139,1)=0,$L139&gt;=1,$L139&lt;=5,ISNUMBER($N139),$N139&gt;=0,$O139="",$P139&lt;&gt;"",$Q139&lt;&gt;"",$R139="runner_monotonic_complete"),"ScorableComplete",IF(AND($A139&lt;&gt;"",$B139&lt;&gt;"",$C139&lt;&gt;"",$D139&lt;&gt;"",$E139&lt;&gt;"",$F139&lt;&gt;"",ISNUMBER($G139),$G139&gt;=1,OR($O139="insufficient_source_evidence",$O139="operational_failure"),$H139="",$J139="",$L139="",$N139="",$Q139&lt;&gt;"",$R139="runner_monotonic_not_scorable"),"NotScorable","Partial")))</x:f>
        <x:v>Pending</x:v>
      </x:c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50"/>
      <x:c r="O140" s="44"/>
      <x:c r="P140" s="53"/>
      <x:c r="Q140" s="53"/>
      <x:c r="R140" s="44"/>
      <x:c r="S140" s="47" t="str">
        <x:f>IF(COUNTA($H140:$R140)=0,"Pending",IF(AND($A140&lt;&gt;"",$B140&lt;&gt;"",$C140&lt;&gt;"",$D140&lt;&gt;"",$E140&lt;&gt;"",$F140&lt;&gt;"",ISNUMBER($G140),$G140&gt;=1,ISNUMBER($H140),MOD($H140,1)=0,$H140&gt;=1,$H140&lt;=5,ISNUMBER($J140),MOD($J140,1)=0,$J140&gt;=1,$J140&lt;=5,ISNUMBER($L140),MOD($L140,1)=0,$L140&gt;=1,$L140&lt;=5,ISNUMBER($N140),$N140&gt;=0,$O140="",$P140&lt;&gt;"",$Q140&lt;&gt;"",$R140="runner_monotonic_complete"),"ScorableComplete",IF(AND($A140&lt;&gt;"",$B140&lt;&gt;"",$C140&lt;&gt;"",$D140&lt;&gt;"",$E140&lt;&gt;"",$F140&lt;&gt;"",ISNUMBER($G140),$G140&gt;=1,OR($O140="insufficient_source_evidence",$O140="operational_failure"),$H140="",$J140="",$L140="",$N140="",$Q140&lt;&gt;"",$R140="runner_monotonic_not_scorable"),"NotScorable","Partial")))</x:f>
        <x:v>Pending</x:v>
      </x:c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50"/>
      <x:c r="O141" s="44"/>
      <x:c r="P141" s="53"/>
      <x:c r="Q141" s="53"/>
      <x:c r="R141" s="44"/>
      <x:c r="S141" s="47" t="str">
        <x:f>IF(COUNTA($H141:$R141)=0,"Pending",IF(AND($A141&lt;&gt;"",$B141&lt;&gt;"",$C141&lt;&gt;"",$D141&lt;&gt;"",$E141&lt;&gt;"",$F141&lt;&gt;"",ISNUMBER($G141),$G141&gt;=1,ISNUMBER($H141),MOD($H141,1)=0,$H141&gt;=1,$H141&lt;=5,ISNUMBER($J141),MOD($J141,1)=0,$J141&gt;=1,$J141&lt;=5,ISNUMBER($L141),MOD($L141,1)=0,$L141&gt;=1,$L141&lt;=5,ISNUMBER($N141),$N141&gt;=0,$O141="",$P141&lt;&gt;"",$Q141&lt;&gt;"",$R141="runner_monotonic_complete"),"ScorableComplete",IF(AND($A141&lt;&gt;"",$B141&lt;&gt;"",$C141&lt;&gt;"",$D141&lt;&gt;"",$E141&lt;&gt;"",$F141&lt;&gt;"",ISNUMBER($G141),$G141&gt;=1,OR($O141="insufficient_source_evidence",$O141="operational_failure"),$H141="",$J141="",$L141="",$N141="",$Q141&lt;&gt;"",$R141="runner_monotonic_not_scorable"),"NotScorable","Partial")))</x:f>
        <x:v>Pending</x:v>
      </x:c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50"/>
      <x:c r="O142" s="44"/>
      <x:c r="P142" s="53"/>
      <x:c r="Q142" s="53"/>
      <x:c r="R142" s="44"/>
      <x:c r="S142" s="47" t="str">
        <x:f>IF(COUNTA($H142:$R142)=0,"Pending",IF(AND($A142&lt;&gt;"",$B142&lt;&gt;"",$C142&lt;&gt;"",$D142&lt;&gt;"",$E142&lt;&gt;"",$F142&lt;&gt;"",ISNUMBER($G142),$G142&gt;=1,ISNUMBER($H142),MOD($H142,1)=0,$H142&gt;=1,$H142&lt;=5,ISNUMBER($J142),MOD($J142,1)=0,$J142&gt;=1,$J142&lt;=5,ISNUMBER($L142),MOD($L142,1)=0,$L142&gt;=1,$L142&lt;=5,ISNUMBER($N142),$N142&gt;=0,$O142="",$P142&lt;&gt;"",$Q142&lt;&gt;"",$R142="runner_monotonic_complete"),"ScorableComplete",IF(AND($A142&lt;&gt;"",$B142&lt;&gt;"",$C142&lt;&gt;"",$D142&lt;&gt;"",$E142&lt;&gt;"",$F142&lt;&gt;"",ISNUMBER($G142),$G142&gt;=1,OR($O142="insufficient_source_evidence",$O142="operational_failure"),$H142="",$J142="",$L142="",$N142="",$Q142&lt;&gt;"",$R142="runner_monotonic_not_scorable"),"NotScorable","Partial")))</x:f>
        <x:v>Pending</x:v>
      </x:c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50"/>
      <x:c r="O143" s="44"/>
      <x:c r="P143" s="53"/>
      <x:c r="Q143" s="53"/>
      <x:c r="R143" s="44"/>
      <x:c r="S143" s="47" t="str">
        <x:f>IF(COUNTA($H143:$R143)=0,"Pending",IF(AND($A143&lt;&gt;"",$B143&lt;&gt;"",$C143&lt;&gt;"",$D143&lt;&gt;"",$E143&lt;&gt;"",$F143&lt;&gt;"",ISNUMBER($G143),$G143&gt;=1,ISNUMBER($H143),MOD($H143,1)=0,$H143&gt;=1,$H143&lt;=5,ISNUMBER($J143),MOD($J143,1)=0,$J143&gt;=1,$J143&lt;=5,ISNUMBER($L143),MOD($L143,1)=0,$L143&gt;=1,$L143&lt;=5,ISNUMBER($N143),$N143&gt;=0,$O143="",$P143&lt;&gt;"",$Q143&lt;&gt;"",$R143="runner_monotonic_complete"),"ScorableComplete",IF(AND($A143&lt;&gt;"",$B143&lt;&gt;"",$C143&lt;&gt;"",$D143&lt;&gt;"",$E143&lt;&gt;"",$F143&lt;&gt;"",ISNUMBER($G143),$G143&gt;=1,OR($O143="insufficient_source_evidence",$O143="operational_failure"),$H143="",$J143="",$L143="",$N143="",$Q143&lt;&gt;"",$R143="runner_monotonic_not_scorable"),"NotScorable","Partial")))</x:f>
        <x:v>Pending</x:v>
      </x:c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50"/>
      <x:c r="O144" s="44"/>
      <x:c r="P144" s="53"/>
      <x:c r="Q144" s="53"/>
      <x:c r="R144" s="44"/>
      <x:c r="S144" s="47" t="str">
        <x:f>IF(COUNTA($H144:$R144)=0,"Pending",IF(AND($A144&lt;&gt;"",$B144&lt;&gt;"",$C144&lt;&gt;"",$D144&lt;&gt;"",$E144&lt;&gt;"",$F144&lt;&gt;"",ISNUMBER($G144),$G144&gt;=1,ISNUMBER($H144),MOD($H144,1)=0,$H144&gt;=1,$H144&lt;=5,ISNUMBER($J144),MOD($J144,1)=0,$J144&gt;=1,$J144&lt;=5,ISNUMBER($L144),MOD($L144,1)=0,$L144&gt;=1,$L144&lt;=5,ISNUMBER($N144),$N144&gt;=0,$O144="",$P144&lt;&gt;"",$Q144&lt;&gt;"",$R144="runner_monotonic_complete"),"ScorableComplete",IF(AND($A144&lt;&gt;"",$B144&lt;&gt;"",$C144&lt;&gt;"",$D144&lt;&gt;"",$E144&lt;&gt;"",$F144&lt;&gt;"",ISNUMBER($G144),$G144&gt;=1,OR($O144="insufficient_source_evidence",$O144="operational_failure"),$H144="",$J144="",$L144="",$N144="",$Q144&lt;&gt;"",$R144="runner_monotonic_not_scorable"),"NotScorable","Partial")))</x:f>
        <x:v>Pending</x:v>
      </x:c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50"/>
      <x:c r="O145" s="44"/>
      <x:c r="P145" s="53"/>
      <x:c r="Q145" s="53"/>
      <x:c r="R145" s="44"/>
      <x:c r="S145" s="47" t="str">
        <x:f>IF(COUNTA($H145:$R145)=0,"Pending",IF(AND($A145&lt;&gt;"",$B145&lt;&gt;"",$C145&lt;&gt;"",$D145&lt;&gt;"",$E145&lt;&gt;"",$F145&lt;&gt;"",ISNUMBER($G145),$G145&gt;=1,ISNUMBER($H145),MOD($H145,1)=0,$H145&gt;=1,$H145&lt;=5,ISNUMBER($J145),MOD($J145,1)=0,$J145&gt;=1,$J145&lt;=5,ISNUMBER($L145),MOD($L145,1)=0,$L145&gt;=1,$L145&lt;=5,ISNUMBER($N145),$N145&gt;=0,$O145="",$P145&lt;&gt;"",$Q145&lt;&gt;"",$R145="runner_monotonic_complete"),"ScorableComplete",IF(AND($A145&lt;&gt;"",$B145&lt;&gt;"",$C145&lt;&gt;"",$D145&lt;&gt;"",$E145&lt;&gt;"",$F145&lt;&gt;"",ISNUMBER($G145),$G145&gt;=1,OR($O145="insufficient_source_evidence",$O145="operational_failure"),$H145="",$J145="",$L145="",$N145="",$Q145&lt;&gt;"",$R145="runner_monotonic_not_scorable"),"NotScorable","Partial")))</x:f>
        <x:v>Pending</x:v>
      </x:c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50"/>
      <x:c r="O146" s="44"/>
      <x:c r="P146" s="53"/>
      <x:c r="Q146" s="53"/>
      <x:c r="R146" s="44"/>
      <x:c r="S146" s="47" t="str">
        <x:f>IF(COUNTA($H146:$R146)=0,"Pending",IF(AND($A146&lt;&gt;"",$B146&lt;&gt;"",$C146&lt;&gt;"",$D146&lt;&gt;"",$E146&lt;&gt;"",$F146&lt;&gt;"",ISNUMBER($G146),$G146&gt;=1,ISNUMBER($H146),MOD($H146,1)=0,$H146&gt;=1,$H146&lt;=5,ISNUMBER($J146),MOD($J146,1)=0,$J146&gt;=1,$J146&lt;=5,ISNUMBER($L146),MOD($L146,1)=0,$L146&gt;=1,$L146&lt;=5,ISNUMBER($N146),$N146&gt;=0,$O146="",$P146&lt;&gt;"",$Q146&lt;&gt;"",$R146="runner_monotonic_complete"),"ScorableComplete",IF(AND($A146&lt;&gt;"",$B146&lt;&gt;"",$C146&lt;&gt;"",$D146&lt;&gt;"",$E146&lt;&gt;"",$F146&lt;&gt;"",ISNUMBER($G146),$G146&gt;=1,OR($O146="insufficient_source_evidence",$O146="operational_failure"),$H146="",$J146="",$L146="",$N146="",$Q146&lt;&gt;"",$R146="runner_monotonic_not_scorable"),"NotScorable","Partial")))</x:f>
        <x:v>Pending</x:v>
      </x:c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50"/>
      <x:c r="O147" s="44"/>
      <x:c r="P147" s="53"/>
      <x:c r="Q147" s="53"/>
      <x:c r="R147" s="44"/>
      <x:c r="S147" s="47" t="str">
        <x:f>IF(COUNTA($H147:$R147)=0,"Pending",IF(AND($A147&lt;&gt;"",$B147&lt;&gt;"",$C147&lt;&gt;"",$D147&lt;&gt;"",$E147&lt;&gt;"",$F147&lt;&gt;"",ISNUMBER($G147),$G147&gt;=1,ISNUMBER($H147),MOD($H147,1)=0,$H147&gt;=1,$H147&lt;=5,ISNUMBER($J147),MOD($J147,1)=0,$J147&gt;=1,$J147&lt;=5,ISNUMBER($L147),MOD($L147,1)=0,$L147&gt;=1,$L147&lt;=5,ISNUMBER($N147),$N147&gt;=0,$O147="",$P147&lt;&gt;"",$Q147&lt;&gt;"",$R147="runner_monotonic_complete"),"ScorableComplete",IF(AND($A147&lt;&gt;"",$B147&lt;&gt;"",$C147&lt;&gt;"",$D147&lt;&gt;"",$E147&lt;&gt;"",$F147&lt;&gt;"",ISNUMBER($G147),$G147&gt;=1,OR($O147="insufficient_source_evidence",$O147="operational_failure"),$H147="",$J147="",$L147="",$N147="",$Q147&lt;&gt;"",$R147="runner_monotonic_not_scorable"),"NotScorable","Partial")))</x:f>
        <x:v>Pending</x:v>
      </x:c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50"/>
      <x:c r="O148" s="44"/>
      <x:c r="P148" s="53"/>
      <x:c r="Q148" s="53"/>
      <x:c r="R148" s="44"/>
      <x:c r="S148" s="47" t="str">
        <x:f>IF(COUNTA($H148:$R148)=0,"Pending",IF(AND($A148&lt;&gt;"",$B148&lt;&gt;"",$C148&lt;&gt;"",$D148&lt;&gt;"",$E148&lt;&gt;"",$F148&lt;&gt;"",ISNUMBER($G148),$G148&gt;=1,ISNUMBER($H148),MOD($H148,1)=0,$H148&gt;=1,$H148&lt;=5,ISNUMBER($J148),MOD($J148,1)=0,$J148&gt;=1,$J148&lt;=5,ISNUMBER($L148),MOD($L148,1)=0,$L148&gt;=1,$L148&lt;=5,ISNUMBER($N148),$N148&gt;=0,$O148="",$P148&lt;&gt;"",$Q148&lt;&gt;"",$R148="runner_monotonic_complete"),"ScorableComplete",IF(AND($A148&lt;&gt;"",$B148&lt;&gt;"",$C148&lt;&gt;"",$D148&lt;&gt;"",$E148&lt;&gt;"",$F148&lt;&gt;"",ISNUMBER($G148),$G148&gt;=1,OR($O148="insufficient_source_evidence",$O148="operational_failure"),$H148="",$J148="",$L148="",$N148="",$Q148&lt;&gt;"",$R148="runner_monotonic_not_scorable"),"NotScorable","Partial")))</x:f>
        <x:v>Pending</x:v>
      </x:c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50"/>
      <x:c r="O149" s="44"/>
      <x:c r="P149" s="53"/>
      <x:c r="Q149" s="53"/>
      <x:c r="R149" s="44"/>
      <x:c r="S149" s="47" t="str">
        <x:f>IF(COUNTA($H149:$R149)=0,"Pending",IF(AND($A149&lt;&gt;"",$B149&lt;&gt;"",$C149&lt;&gt;"",$D149&lt;&gt;"",$E149&lt;&gt;"",$F149&lt;&gt;"",ISNUMBER($G149),$G149&gt;=1,ISNUMBER($H149),MOD($H149,1)=0,$H149&gt;=1,$H149&lt;=5,ISNUMBER($J149),MOD($J149,1)=0,$J149&gt;=1,$J149&lt;=5,ISNUMBER($L149),MOD($L149,1)=0,$L149&gt;=1,$L149&lt;=5,ISNUMBER($N149),$N149&gt;=0,$O149="",$P149&lt;&gt;"",$Q149&lt;&gt;"",$R149="runner_monotonic_complete"),"ScorableComplete",IF(AND($A149&lt;&gt;"",$B149&lt;&gt;"",$C149&lt;&gt;"",$D149&lt;&gt;"",$E149&lt;&gt;"",$F149&lt;&gt;"",ISNUMBER($G149),$G149&gt;=1,OR($O149="insufficient_source_evidence",$O149="operational_failure"),$H149="",$J149="",$L149="",$N149="",$Q149&lt;&gt;"",$R149="runner_monotonic_not_scorable"),"NotScorable","Partial")))</x:f>
        <x:v>Pending</x:v>
      </x:c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50"/>
      <x:c r="O150" s="44"/>
      <x:c r="P150" s="53"/>
      <x:c r="Q150" s="53"/>
      <x:c r="R150" s="44"/>
      <x:c r="S150" s="47" t="str">
        <x:f>IF(COUNTA($H150:$R150)=0,"Pending",IF(AND($A150&lt;&gt;"",$B150&lt;&gt;"",$C150&lt;&gt;"",$D150&lt;&gt;"",$E150&lt;&gt;"",$F150&lt;&gt;"",ISNUMBER($G150),$G150&gt;=1,ISNUMBER($H150),MOD($H150,1)=0,$H150&gt;=1,$H150&lt;=5,ISNUMBER($J150),MOD($J150,1)=0,$J150&gt;=1,$J150&lt;=5,ISNUMBER($L150),MOD($L150,1)=0,$L150&gt;=1,$L150&lt;=5,ISNUMBER($N150),$N150&gt;=0,$O150="",$P150&lt;&gt;"",$Q150&lt;&gt;"",$R150="runner_monotonic_complete"),"ScorableComplete",IF(AND($A150&lt;&gt;"",$B150&lt;&gt;"",$C150&lt;&gt;"",$D150&lt;&gt;"",$E150&lt;&gt;"",$F150&lt;&gt;"",ISNUMBER($G150),$G150&gt;=1,OR($O150="insufficient_source_evidence",$O150="operational_failure"),$H150="",$J150="",$L150="",$N150="",$Q150&lt;&gt;"",$R150="runner_monotonic_not_scorable"),"NotScorable","Partial")))</x:f>
        <x:v>Pending</x:v>
      </x:c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50"/>
      <x:c r="O151" s="44"/>
      <x:c r="P151" s="53"/>
      <x:c r="Q151" s="53"/>
      <x:c r="R151" s="44"/>
      <x:c r="S151" s="47" t="str">
        <x:f>IF(COUNTA($H151:$R151)=0,"Pending",IF(AND($A151&lt;&gt;"",$B151&lt;&gt;"",$C151&lt;&gt;"",$D151&lt;&gt;"",$E151&lt;&gt;"",$F151&lt;&gt;"",ISNUMBER($G151),$G151&gt;=1,ISNUMBER($H151),MOD($H151,1)=0,$H151&gt;=1,$H151&lt;=5,ISNUMBER($J151),MOD($J151,1)=0,$J151&gt;=1,$J151&lt;=5,ISNUMBER($L151),MOD($L151,1)=0,$L151&gt;=1,$L151&lt;=5,ISNUMBER($N151),$N151&gt;=0,$O151="",$P151&lt;&gt;"",$Q151&lt;&gt;"",$R151="runner_monotonic_complete"),"ScorableComplete",IF(AND($A151&lt;&gt;"",$B151&lt;&gt;"",$C151&lt;&gt;"",$D151&lt;&gt;"",$E151&lt;&gt;"",$F151&lt;&gt;"",ISNUMBER($G151),$G151&gt;=1,OR($O151="insufficient_source_evidence",$O151="operational_failure"),$H151="",$J151="",$L151="",$N151="",$Q151&lt;&gt;"",$R151="runner_monotonic_not_scorable"),"NotScorable","Partial")))</x:f>
        <x:v>Pending</x:v>
      </x:c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50"/>
      <x:c r="O152" s="44"/>
      <x:c r="P152" s="53"/>
      <x:c r="Q152" s="53"/>
      <x:c r="R152" s="44"/>
      <x:c r="S152" s="47" t="str">
        <x:f>IF(COUNTA($H152:$R152)=0,"Pending",IF(AND($A152&lt;&gt;"",$B152&lt;&gt;"",$C152&lt;&gt;"",$D152&lt;&gt;"",$E152&lt;&gt;"",$F152&lt;&gt;"",ISNUMBER($G152),$G152&gt;=1,ISNUMBER($H152),MOD($H152,1)=0,$H152&gt;=1,$H152&lt;=5,ISNUMBER($J152),MOD($J152,1)=0,$J152&gt;=1,$J152&lt;=5,ISNUMBER($L152),MOD($L152,1)=0,$L152&gt;=1,$L152&lt;=5,ISNUMBER($N152),$N152&gt;=0,$O152="",$P152&lt;&gt;"",$Q152&lt;&gt;"",$R152="runner_monotonic_complete"),"ScorableComplete",IF(AND($A152&lt;&gt;"",$B152&lt;&gt;"",$C152&lt;&gt;"",$D152&lt;&gt;"",$E152&lt;&gt;"",$F152&lt;&gt;"",ISNUMBER($G152),$G152&gt;=1,OR($O152="insufficient_source_evidence",$O152="operational_failure"),$H152="",$J152="",$L152="",$N152="",$Q152&lt;&gt;"",$R152="runner_monotonic_not_scorable"),"NotScorable","Partial")))</x:f>
        <x:v>Pending</x:v>
      </x:c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50"/>
      <x:c r="O153" s="44"/>
      <x:c r="P153" s="53"/>
      <x:c r="Q153" s="53"/>
      <x:c r="R153" s="44"/>
      <x:c r="S153" s="47" t="str">
        <x:f>IF(COUNTA($H153:$R153)=0,"Pending",IF(AND($A153&lt;&gt;"",$B153&lt;&gt;"",$C153&lt;&gt;"",$D153&lt;&gt;"",$E153&lt;&gt;"",$F153&lt;&gt;"",ISNUMBER($G153),$G153&gt;=1,ISNUMBER($H153),MOD($H153,1)=0,$H153&gt;=1,$H153&lt;=5,ISNUMBER($J153),MOD($J153,1)=0,$J153&gt;=1,$J153&lt;=5,ISNUMBER($L153),MOD($L153,1)=0,$L153&gt;=1,$L153&lt;=5,ISNUMBER($N153),$N153&gt;=0,$O153="",$P153&lt;&gt;"",$Q153&lt;&gt;"",$R153="runner_monotonic_complete"),"ScorableComplete",IF(AND($A153&lt;&gt;"",$B153&lt;&gt;"",$C153&lt;&gt;"",$D153&lt;&gt;"",$E153&lt;&gt;"",$F153&lt;&gt;"",ISNUMBER($G153),$G153&gt;=1,OR($O153="insufficient_source_evidence",$O153="operational_failure"),$H153="",$J153="",$L153="",$N153="",$Q153&lt;&gt;"",$R153="runner_monotonic_not_scorable"),"NotScorable","Partial")))</x:f>
        <x:v>Pending</x:v>
      </x:c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50"/>
      <x:c r="O154" s="44"/>
      <x:c r="P154" s="53"/>
      <x:c r="Q154" s="53"/>
      <x:c r="R154" s="44"/>
      <x:c r="S154" s="47" t="str">
        <x:f>IF(COUNTA($H154:$R154)=0,"Pending",IF(AND($A154&lt;&gt;"",$B154&lt;&gt;"",$C154&lt;&gt;"",$D154&lt;&gt;"",$E154&lt;&gt;"",$F154&lt;&gt;"",ISNUMBER($G154),$G154&gt;=1,ISNUMBER($H154),MOD($H154,1)=0,$H154&gt;=1,$H154&lt;=5,ISNUMBER($J154),MOD($J154,1)=0,$J154&gt;=1,$J154&lt;=5,ISNUMBER($L154),MOD($L154,1)=0,$L154&gt;=1,$L154&lt;=5,ISNUMBER($N154),$N154&gt;=0,$O154="",$P154&lt;&gt;"",$Q154&lt;&gt;"",$R154="runner_monotonic_complete"),"ScorableComplete",IF(AND($A154&lt;&gt;"",$B154&lt;&gt;"",$C154&lt;&gt;"",$D154&lt;&gt;"",$E154&lt;&gt;"",$F154&lt;&gt;"",ISNUMBER($G154),$G154&gt;=1,OR($O154="insufficient_source_evidence",$O154="operational_failure"),$H154="",$J154="",$L154="",$N154="",$Q154&lt;&gt;"",$R154="runner_monotonic_not_scorable"),"NotScorable","Partial")))</x:f>
        <x:v>Pending</x:v>
      </x:c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50"/>
      <x:c r="O155" s="44"/>
      <x:c r="P155" s="53"/>
      <x:c r="Q155" s="53"/>
      <x:c r="R155" s="44"/>
      <x:c r="S155" s="47" t="str">
        <x:f>IF(COUNTA($H155:$R155)=0,"Pending",IF(AND($A155&lt;&gt;"",$B155&lt;&gt;"",$C155&lt;&gt;"",$D155&lt;&gt;"",$E155&lt;&gt;"",$F155&lt;&gt;"",ISNUMBER($G155),$G155&gt;=1,ISNUMBER($H155),MOD($H155,1)=0,$H155&gt;=1,$H155&lt;=5,ISNUMBER($J155),MOD($J155,1)=0,$J155&gt;=1,$J155&lt;=5,ISNUMBER($L155),MOD($L155,1)=0,$L155&gt;=1,$L155&lt;=5,ISNUMBER($N155),$N155&gt;=0,$O155="",$P155&lt;&gt;"",$Q155&lt;&gt;"",$R155="runner_monotonic_complete"),"ScorableComplete",IF(AND($A155&lt;&gt;"",$B155&lt;&gt;"",$C155&lt;&gt;"",$D155&lt;&gt;"",$E155&lt;&gt;"",$F155&lt;&gt;"",ISNUMBER($G155),$G155&gt;=1,OR($O155="insufficient_source_evidence",$O155="operational_failure"),$H155="",$J155="",$L155="",$N155="",$Q155&lt;&gt;"",$R155="runner_monotonic_not_scorable"),"NotScorable","Partial")))</x:f>
        <x:v>Pending</x:v>
      </x:c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50"/>
      <x:c r="O156" s="44"/>
      <x:c r="P156" s="53"/>
      <x:c r="Q156" s="53"/>
      <x:c r="R156" s="44"/>
      <x:c r="S156" s="47" t="str">
        <x:f>IF(COUNTA($H156:$R156)=0,"Pending",IF(AND($A156&lt;&gt;"",$B156&lt;&gt;"",$C156&lt;&gt;"",$D156&lt;&gt;"",$E156&lt;&gt;"",$F156&lt;&gt;"",ISNUMBER($G156),$G156&gt;=1,ISNUMBER($H156),MOD($H156,1)=0,$H156&gt;=1,$H156&lt;=5,ISNUMBER($J156),MOD($J156,1)=0,$J156&gt;=1,$J156&lt;=5,ISNUMBER($L156),MOD($L156,1)=0,$L156&gt;=1,$L156&lt;=5,ISNUMBER($N156),$N156&gt;=0,$O156="",$P156&lt;&gt;"",$Q156&lt;&gt;"",$R156="runner_monotonic_complete"),"ScorableComplete",IF(AND($A156&lt;&gt;"",$B156&lt;&gt;"",$C156&lt;&gt;"",$D156&lt;&gt;"",$E156&lt;&gt;"",$F156&lt;&gt;"",ISNUMBER($G156),$G156&gt;=1,OR($O156="insufficient_source_evidence",$O156="operational_failure"),$H156="",$J156="",$L156="",$N156="",$Q156&lt;&gt;"",$R156="runner_monotonic_not_scorable"),"NotScorable","Partial")))</x:f>
        <x:v>Pending</x:v>
      </x:c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50"/>
      <x:c r="O157" s="44"/>
      <x:c r="P157" s="53"/>
      <x:c r="Q157" s="53"/>
      <x:c r="R157" s="44"/>
      <x:c r="S157" s="47" t="str">
        <x:f>IF(COUNTA($H157:$R157)=0,"Pending",IF(AND($A157&lt;&gt;"",$B157&lt;&gt;"",$C157&lt;&gt;"",$D157&lt;&gt;"",$E157&lt;&gt;"",$F157&lt;&gt;"",ISNUMBER($G157),$G157&gt;=1,ISNUMBER($H157),MOD($H157,1)=0,$H157&gt;=1,$H157&lt;=5,ISNUMBER($J157),MOD($J157,1)=0,$J157&gt;=1,$J157&lt;=5,ISNUMBER($L157),MOD($L157,1)=0,$L157&gt;=1,$L157&lt;=5,ISNUMBER($N157),$N157&gt;=0,$O157="",$P157&lt;&gt;"",$Q157&lt;&gt;"",$R157="runner_monotonic_complete"),"ScorableComplete",IF(AND($A157&lt;&gt;"",$B157&lt;&gt;"",$C157&lt;&gt;"",$D157&lt;&gt;"",$E157&lt;&gt;"",$F157&lt;&gt;"",ISNUMBER($G157),$G157&gt;=1,OR($O157="insufficient_source_evidence",$O157="operational_failure"),$H157="",$J157="",$L157="",$N157="",$Q157&lt;&gt;"",$R157="runner_monotonic_not_scorable"),"NotScorable","Partial")))</x:f>
        <x:v>Pending</x:v>
      </x:c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50"/>
      <x:c r="O158" s="44"/>
      <x:c r="P158" s="53"/>
      <x:c r="Q158" s="53"/>
      <x:c r="R158" s="44"/>
      <x:c r="S158" s="47" t="str">
        <x:f>IF(COUNTA($H158:$R158)=0,"Pending",IF(AND($A158&lt;&gt;"",$B158&lt;&gt;"",$C158&lt;&gt;"",$D158&lt;&gt;"",$E158&lt;&gt;"",$F158&lt;&gt;"",ISNUMBER($G158),$G158&gt;=1,ISNUMBER($H158),MOD($H158,1)=0,$H158&gt;=1,$H158&lt;=5,ISNUMBER($J158),MOD($J158,1)=0,$J158&gt;=1,$J158&lt;=5,ISNUMBER($L158),MOD($L158,1)=0,$L158&gt;=1,$L158&lt;=5,ISNUMBER($N158),$N158&gt;=0,$O158="",$P158&lt;&gt;"",$Q158&lt;&gt;"",$R158="runner_monotonic_complete"),"ScorableComplete",IF(AND($A158&lt;&gt;"",$B158&lt;&gt;"",$C158&lt;&gt;"",$D158&lt;&gt;"",$E158&lt;&gt;"",$F158&lt;&gt;"",ISNUMBER($G158),$G158&gt;=1,OR($O158="insufficient_source_evidence",$O158="operational_failure"),$H158="",$J158="",$L158="",$N158="",$Q158&lt;&gt;"",$R158="runner_monotonic_not_scorable"),"NotScorable","Partial")))</x:f>
        <x:v>Pending</x:v>
      </x:c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50"/>
      <x:c r="O159" s="44"/>
      <x:c r="P159" s="53"/>
      <x:c r="Q159" s="53"/>
      <x:c r="R159" s="44"/>
      <x:c r="S159" s="47" t="str">
        <x:f>IF(COUNTA($H159:$R159)=0,"Pending",IF(AND($A159&lt;&gt;"",$B159&lt;&gt;"",$C159&lt;&gt;"",$D159&lt;&gt;"",$E159&lt;&gt;"",$F159&lt;&gt;"",ISNUMBER($G159),$G159&gt;=1,ISNUMBER($H159),MOD($H159,1)=0,$H159&gt;=1,$H159&lt;=5,ISNUMBER($J159),MOD($J159,1)=0,$J159&gt;=1,$J159&lt;=5,ISNUMBER($L159),MOD($L159,1)=0,$L159&gt;=1,$L159&lt;=5,ISNUMBER($N159),$N159&gt;=0,$O159="",$P159&lt;&gt;"",$Q159&lt;&gt;"",$R159="runner_monotonic_complete"),"ScorableComplete",IF(AND($A159&lt;&gt;"",$B159&lt;&gt;"",$C159&lt;&gt;"",$D159&lt;&gt;"",$E159&lt;&gt;"",$F159&lt;&gt;"",ISNUMBER($G159),$G159&gt;=1,OR($O159="insufficient_source_evidence",$O159="operational_failure"),$H159="",$J159="",$L159="",$N159="",$Q159&lt;&gt;"",$R159="runner_monotonic_not_scorable"),"NotScorable","Partial")))</x:f>
        <x:v>Pending</x:v>
      </x:c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50"/>
      <x:c r="O160" s="44"/>
      <x:c r="P160" s="53"/>
      <x:c r="Q160" s="53"/>
      <x:c r="R160" s="44"/>
      <x:c r="S160" s="47" t="str">
        <x:f>IF(COUNTA($H160:$R160)=0,"Pending",IF(AND($A160&lt;&gt;"",$B160&lt;&gt;"",$C160&lt;&gt;"",$D160&lt;&gt;"",$E160&lt;&gt;"",$F160&lt;&gt;"",ISNUMBER($G160),$G160&gt;=1,ISNUMBER($H160),MOD($H160,1)=0,$H160&gt;=1,$H160&lt;=5,ISNUMBER($J160),MOD($J160,1)=0,$J160&gt;=1,$J160&lt;=5,ISNUMBER($L160),MOD($L160,1)=0,$L160&gt;=1,$L160&lt;=5,ISNUMBER($N160),$N160&gt;=0,$O160="",$P160&lt;&gt;"",$Q160&lt;&gt;"",$R160="runner_monotonic_complete"),"ScorableComplete",IF(AND($A160&lt;&gt;"",$B160&lt;&gt;"",$C160&lt;&gt;"",$D160&lt;&gt;"",$E160&lt;&gt;"",$F160&lt;&gt;"",ISNUMBER($G160),$G160&gt;=1,OR($O160="insufficient_source_evidence",$O160="operational_failure"),$H160="",$J160="",$L160="",$N160="",$Q160&lt;&gt;"",$R160="runner_monotonic_not_scorable"),"NotScorable","Partial")))</x:f>
        <x:v>Pending</x:v>
      </x:c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50"/>
      <x:c r="O161" s="44"/>
      <x:c r="P161" s="53"/>
      <x:c r="Q161" s="53"/>
      <x:c r="R161" s="44"/>
      <x:c r="S161" s="47" t="str">
        <x:f>IF(COUNTA($H161:$R161)=0,"Pending",IF(AND($A161&lt;&gt;"",$B161&lt;&gt;"",$C161&lt;&gt;"",$D161&lt;&gt;"",$E161&lt;&gt;"",$F161&lt;&gt;"",ISNUMBER($G161),$G161&gt;=1,ISNUMBER($H161),MOD($H161,1)=0,$H161&gt;=1,$H161&lt;=5,ISNUMBER($J161),MOD($J161,1)=0,$J161&gt;=1,$J161&lt;=5,ISNUMBER($L161),MOD($L161,1)=0,$L161&gt;=1,$L161&lt;=5,ISNUMBER($N161),$N161&gt;=0,$O161="",$P161&lt;&gt;"",$Q161&lt;&gt;"",$R161="runner_monotonic_complete"),"ScorableComplete",IF(AND($A161&lt;&gt;"",$B161&lt;&gt;"",$C161&lt;&gt;"",$D161&lt;&gt;"",$E161&lt;&gt;"",$F161&lt;&gt;"",ISNUMBER($G161),$G161&gt;=1,OR($O161="insufficient_source_evidence",$O161="operational_failure"),$H161="",$J161="",$L161="",$N161="",$Q161&lt;&gt;"",$R161="runner_monotonic_not_scorable"),"NotScorable","Partial")))</x:f>
        <x:v>Pending</x:v>
      </x:c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50"/>
      <x:c r="O162" s="44"/>
      <x:c r="P162" s="53"/>
      <x:c r="Q162" s="53"/>
      <x:c r="R162" s="44"/>
      <x:c r="S162" s="47" t="str">
        <x:f>IF(COUNTA($H162:$R162)=0,"Pending",IF(AND($A162&lt;&gt;"",$B162&lt;&gt;"",$C162&lt;&gt;"",$D162&lt;&gt;"",$E162&lt;&gt;"",$F162&lt;&gt;"",ISNUMBER($G162),$G162&gt;=1,ISNUMBER($H162),MOD($H162,1)=0,$H162&gt;=1,$H162&lt;=5,ISNUMBER($J162),MOD($J162,1)=0,$J162&gt;=1,$J162&lt;=5,ISNUMBER($L162),MOD($L162,1)=0,$L162&gt;=1,$L162&lt;=5,ISNUMBER($N162),$N162&gt;=0,$O162="",$P162&lt;&gt;"",$Q162&lt;&gt;"",$R162="runner_monotonic_complete"),"ScorableComplete",IF(AND($A162&lt;&gt;"",$B162&lt;&gt;"",$C162&lt;&gt;"",$D162&lt;&gt;"",$E162&lt;&gt;"",$F162&lt;&gt;"",ISNUMBER($G162),$G162&gt;=1,OR($O162="insufficient_source_evidence",$O162="operational_failure"),$H162="",$J162="",$L162="",$N162="",$Q162&lt;&gt;"",$R162="runner_monotonic_not_scorable"),"NotScorable","Partial")))</x:f>
        <x:v>Pending</x:v>
      </x:c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50"/>
      <x:c r="O163" s="44"/>
      <x:c r="P163" s="53"/>
      <x:c r="Q163" s="53"/>
      <x:c r="R163" s="44"/>
      <x:c r="S163" s="47" t="str">
        <x:f>IF(COUNTA($H163:$R163)=0,"Pending",IF(AND($A163&lt;&gt;"",$B163&lt;&gt;"",$C163&lt;&gt;"",$D163&lt;&gt;"",$E163&lt;&gt;"",$F163&lt;&gt;"",ISNUMBER($G163),$G163&gt;=1,ISNUMBER($H163),MOD($H163,1)=0,$H163&gt;=1,$H163&lt;=5,ISNUMBER($J163),MOD($J163,1)=0,$J163&gt;=1,$J163&lt;=5,ISNUMBER($L163),MOD($L163,1)=0,$L163&gt;=1,$L163&lt;=5,ISNUMBER($N163),$N163&gt;=0,$O163="",$P163&lt;&gt;"",$Q163&lt;&gt;"",$R163="runner_monotonic_complete"),"ScorableComplete",IF(AND($A163&lt;&gt;"",$B163&lt;&gt;"",$C163&lt;&gt;"",$D163&lt;&gt;"",$E163&lt;&gt;"",$F163&lt;&gt;"",ISNUMBER($G163),$G163&gt;=1,OR($O163="insufficient_source_evidence",$O163="operational_failure"),$H163="",$J163="",$L163="",$N163="",$Q163&lt;&gt;"",$R163="runner_monotonic_not_scorable"),"NotScorable","Partial")))</x:f>
        <x:v>Pending</x:v>
      </x:c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50"/>
      <x:c r="O164" s="44"/>
      <x:c r="P164" s="53"/>
      <x:c r="Q164" s="53"/>
      <x:c r="R164" s="44"/>
      <x:c r="S164" s="47" t="str">
        <x:f>IF(COUNTA($H164:$R164)=0,"Pending",IF(AND($A164&lt;&gt;"",$B164&lt;&gt;"",$C164&lt;&gt;"",$D164&lt;&gt;"",$E164&lt;&gt;"",$F164&lt;&gt;"",ISNUMBER($G164),$G164&gt;=1,ISNUMBER($H164),MOD($H164,1)=0,$H164&gt;=1,$H164&lt;=5,ISNUMBER($J164),MOD($J164,1)=0,$J164&gt;=1,$J164&lt;=5,ISNUMBER($L164),MOD($L164,1)=0,$L164&gt;=1,$L164&lt;=5,ISNUMBER($N164),$N164&gt;=0,$O164="",$P164&lt;&gt;"",$Q164&lt;&gt;"",$R164="runner_monotonic_complete"),"ScorableComplete",IF(AND($A164&lt;&gt;"",$B164&lt;&gt;"",$C164&lt;&gt;"",$D164&lt;&gt;"",$E164&lt;&gt;"",$F164&lt;&gt;"",ISNUMBER($G164),$G164&gt;=1,OR($O164="insufficient_source_evidence",$O164="operational_failure"),$H164="",$J164="",$L164="",$N164="",$Q164&lt;&gt;"",$R164="runner_monotonic_not_scorable"),"NotScorable","Partial")))</x:f>
        <x:v>Pending</x:v>
      </x:c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50"/>
      <x:c r="O165" s="44"/>
      <x:c r="P165" s="53"/>
      <x:c r="Q165" s="53"/>
      <x:c r="R165" s="44"/>
      <x:c r="S165" s="47" t="str">
        <x:f>IF(COUNTA($H165:$R165)=0,"Pending",IF(AND($A165&lt;&gt;"",$B165&lt;&gt;"",$C165&lt;&gt;"",$D165&lt;&gt;"",$E165&lt;&gt;"",$F165&lt;&gt;"",ISNUMBER($G165),$G165&gt;=1,ISNUMBER($H165),MOD($H165,1)=0,$H165&gt;=1,$H165&lt;=5,ISNUMBER($J165),MOD($J165,1)=0,$J165&gt;=1,$J165&lt;=5,ISNUMBER($L165),MOD($L165,1)=0,$L165&gt;=1,$L165&lt;=5,ISNUMBER($N165),$N165&gt;=0,$O165="",$P165&lt;&gt;"",$Q165&lt;&gt;"",$R165="runner_monotonic_complete"),"ScorableComplete",IF(AND($A165&lt;&gt;"",$B165&lt;&gt;"",$C165&lt;&gt;"",$D165&lt;&gt;"",$E165&lt;&gt;"",$F165&lt;&gt;"",ISNUMBER($G165),$G165&gt;=1,OR($O165="insufficient_source_evidence",$O165="operational_failure"),$H165="",$J165="",$L165="",$N165="",$Q165&lt;&gt;"",$R165="runner_monotonic_not_scorable"),"NotScorable","Partial")))</x:f>
        <x:v>Pending</x:v>
      </x:c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50"/>
      <x:c r="O166" s="44"/>
      <x:c r="P166" s="53"/>
      <x:c r="Q166" s="53"/>
      <x:c r="R166" s="44"/>
      <x:c r="S166" s="47" t="str">
        <x:f>IF(COUNTA($H166:$R166)=0,"Pending",IF(AND($A166&lt;&gt;"",$B166&lt;&gt;"",$C166&lt;&gt;"",$D166&lt;&gt;"",$E166&lt;&gt;"",$F166&lt;&gt;"",ISNUMBER($G166),$G166&gt;=1,ISNUMBER($H166),MOD($H166,1)=0,$H166&gt;=1,$H166&lt;=5,ISNUMBER($J166),MOD($J166,1)=0,$J166&gt;=1,$J166&lt;=5,ISNUMBER($L166),MOD($L166,1)=0,$L166&gt;=1,$L166&lt;=5,ISNUMBER($N166),$N166&gt;=0,$O166="",$P166&lt;&gt;"",$Q166&lt;&gt;"",$R166="runner_monotonic_complete"),"ScorableComplete",IF(AND($A166&lt;&gt;"",$B166&lt;&gt;"",$C166&lt;&gt;"",$D166&lt;&gt;"",$E166&lt;&gt;"",$F166&lt;&gt;"",ISNUMBER($G166),$G166&gt;=1,OR($O166="insufficient_source_evidence",$O166="operational_failure"),$H166="",$J166="",$L166="",$N166="",$Q166&lt;&gt;"",$R166="runner_monotonic_not_scorable"),"NotScorable","Partial")))</x:f>
        <x:v>Pending</x:v>
      </x:c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50"/>
      <x:c r="O167" s="44"/>
      <x:c r="P167" s="53"/>
      <x:c r="Q167" s="53"/>
      <x:c r="R167" s="44"/>
      <x:c r="S167" s="47" t="str">
        <x:f>IF(COUNTA($H167:$R167)=0,"Pending",IF(AND($A167&lt;&gt;"",$B167&lt;&gt;"",$C167&lt;&gt;"",$D167&lt;&gt;"",$E167&lt;&gt;"",$F167&lt;&gt;"",ISNUMBER($G167),$G167&gt;=1,ISNUMBER($H167),MOD($H167,1)=0,$H167&gt;=1,$H167&lt;=5,ISNUMBER($J167),MOD($J167,1)=0,$J167&gt;=1,$J167&lt;=5,ISNUMBER($L167),MOD($L167,1)=0,$L167&gt;=1,$L167&lt;=5,ISNUMBER($N167),$N167&gt;=0,$O167="",$P167&lt;&gt;"",$Q167&lt;&gt;"",$R167="runner_monotonic_complete"),"ScorableComplete",IF(AND($A167&lt;&gt;"",$B167&lt;&gt;"",$C167&lt;&gt;"",$D167&lt;&gt;"",$E167&lt;&gt;"",$F167&lt;&gt;"",ISNUMBER($G167),$G167&gt;=1,OR($O167="insufficient_source_evidence",$O167="operational_failure"),$H167="",$J167="",$L167="",$N167="",$Q167&lt;&gt;"",$R167="runner_monotonic_not_scorable"),"NotScorable","Partial")))</x:f>
        <x:v>Pending</x:v>
      </x:c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50"/>
      <x:c r="O168" s="44"/>
      <x:c r="P168" s="53"/>
      <x:c r="Q168" s="53"/>
      <x:c r="R168" s="44"/>
      <x:c r="S168" s="47" t="str">
        <x:f>IF(COUNTA($H168:$R168)=0,"Pending",IF(AND($A168&lt;&gt;"",$B168&lt;&gt;"",$C168&lt;&gt;"",$D168&lt;&gt;"",$E168&lt;&gt;"",$F168&lt;&gt;"",ISNUMBER($G168),$G168&gt;=1,ISNUMBER($H168),MOD($H168,1)=0,$H168&gt;=1,$H168&lt;=5,ISNUMBER($J168),MOD($J168,1)=0,$J168&gt;=1,$J168&lt;=5,ISNUMBER($L168),MOD($L168,1)=0,$L168&gt;=1,$L168&lt;=5,ISNUMBER($N168),$N168&gt;=0,$O168="",$P168&lt;&gt;"",$Q168&lt;&gt;"",$R168="runner_monotonic_complete"),"ScorableComplete",IF(AND($A168&lt;&gt;"",$B168&lt;&gt;"",$C168&lt;&gt;"",$D168&lt;&gt;"",$E168&lt;&gt;"",$F168&lt;&gt;"",ISNUMBER($G168),$G168&gt;=1,OR($O168="insufficient_source_evidence",$O168="operational_failure"),$H168="",$J168="",$L168="",$N168="",$Q168&lt;&gt;"",$R168="runner_monotonic_not_scorable"),"NotScorable","Partial")))</x:f>
        <x:v>Pending</x:v>
      </x:c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50"/>
      <x:c r="O169" s="44"/>
      <x:c r="P169" s="53"/>
      <x:c r="Q169" s="53"/>
      <x:c r="R169" s="44"/>
      <x:c r="S169" s="47" t="str">
        <x:f>IF(COUNTA($H169:$R169)=0,"Pending",IF(AND($A169&lt;&gt;"",$B169&lt;&gt;"",$C169&lt;&gt;"",$D169&lt;&gt;"",$E169&lt;&gt;"",$F169&lt;&gt;"",ISNUMBER($G169),$G169&gt;=1,ISNUMBER($H169),MOD($H169,1)=0,$H169&gt;=1,$H169&lt;=5,ISNUMBER($J169),MOD($J169,1)=0,$J169&gt;=1,$J169&lt;=5,ISNUMBER($L169),MOD($L169,1)=0,$L169&gt;=1,$L169&lt;=5,ISNUMBER($N169),$N169&gt;=0,$O169="",$P169&lt;&gt;"",$Q169&lt;&gt;"",$R169="runner_monotonic_complete"),"ScorableComplete",IF(AND($A169&lt;&gt;"",$B169&lt;&gt;"",$C169&lt;&gt;"",$D169&lt;&gt;"",$E169&lt;&gt;"",$F169&lt;&gt;"",ISNUMBER($G169),$G169&gt;=1,OR($O169="insufficient_source_evidence",$O169="operational_failure"),$H169="",$J169="",$L169="",$N169="",$Q169&lt;&gt;"",$R169="runner_monotonic_not_scorable"),"NotScorable","Partial")))</x:f>
        <x:v>Pending</x:v>
      </x:c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50"/>
      <x:c r="O170" s="44"/>
      <x:c r="P170" s="53"/>
      <x:c r="Q170" s="53"/>
      <x:c r="R170" s="44"/>
      <x:c r="S170" s="47" t="str">
        <x:f>IF(COUNTA($H170:$R170)=0,"Pending",IF(AND($A170&lt;&gt;"",$B170&lt;&gt;"",$C170&lt;&gt;"",$D170&lt;&gt;"",$E170&lt;&gt;"",$F170&lt;&gt;"",ISNUMBER($G170),$G170&gt;=1,ISNUMBER($H170),MOD($H170,1)=0,$H170&gt;=1,$H170&lt;=5,ISNUMBER($J170),MOD($J170,1)=0,$J170&gt;=1,$J170&lt;=5,ISNUMBER($L170),MOD($L170,1)=0,$L170&gt;=1,$L170&lt;=5,ISNUMBER($N170),$N170&gt;=0,$O170="",$P170&lt;&gt;"",$Q170&lt;&gt;"",$R170="runner_monotonic_complete"),"ScorableComplete",IF(AND($A170&lt;&gt;"",$B170&lt;&gt;"",$C170&lt;&gt;"",$D170&lt;&gt;"",$E170&lt;&gt;"",$F170&lt;&gt;"",ISNUMBER($G170),$G170&gt;=1,OR($O170="insufficient_source_evidence",$O170="operational_failure"),$H170="",$J170="",$L170="",$N170="",$Q170&lt;&gt;"",$R170="runner_monotonic_not_scorable"),"NotScorable","Partial")))</x:f>
        <x:v>Pending</x:v>
      </x:c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50"/>
      <x:c r="O171" s="44"/>
      <x:c r="P171" s="53"/>
      <x:c r="Q171" s="53"/>
      <x:c r="R171" s="44"/>
      <x:c r="S171" s="47" t="str">
        <x:f>IF(COUNTA($H171:$R171)=0,"Pending",IF(AND($A171&lt;&gt;"",$B171&lt;&gt;"",$C171&lt;&gt;"",$D171&lt;&gt;"",$E171&lt;&gt;"",$F171&lt;&gt;"",ISNUMBER($G171),$G171&gt;=1,ISNUMBER($H171),MOD($H171,1)=0,$H171&gt;=1,$H171&lt;=5,ISNUMBER($J171),MOD($J171,1)=0,$J171&gt;=1,$J171&lt;=5,ISNUMBER($L171),MOD($L171,1)=0,$L171&gt;=1,$L171&lt;=5,ISNUMBER($N171),$N171&gt;=0,$O171="",$P171&lt;&gt;"",$Q171&lt;&gt;"",$R171="runner_monotonic_complete"),"ScorableComplete",IF(AND($A171&lt;&gt;"",$B171&lt;&gt;"",$C171&lt;&gt;"",$D171&lt;&gt;"",$E171&lt;&gt;"",$F171&lt;&gt;"",ISNUMBER($G171),$G171&gt;=1,OR($O171="insufficient_source_evidence",$O171="operational_failure"),$H171="",$J171="",$L171="",$N171="",$Q171&lt;&gt;"",$R171="runner_monotonic_not_scorable"),"NotScorable","Partial")))</x:f>
        <x:v>Pending</x:v>
      </x:c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50"/>
      <x:c r="O172" s="44"/>
      <x:c r="P172" s="53"/>
      <x:c r="Q172" s="53"/>
      <x:c r="R172" s="44"/>
      <x:c r="S172" s="47" t="str">
        <x:f>IF(COUNTA($H172:$R172)=0,"Pending",IF(AND($A172&lt;&gt;"",$B172&lt;&gt;"",$C172&lt;&gt;"",$D172&lt;&gt;"",$E172&lt;&gt;"",$F172&lt;&gt;"",ISNUMBER($G172),$G172&gt;=1,ISNUMBER($H172),MOD($H172,1)=0,$H172&gt;=1,$H172&lt;=5,ISNUMBER($J172),MOD($J172,1)=0,$J172&gt;=1,$J172&lt;=5,ISNUMBER($L172),MOD($L172,1)=0,$L172&gt;=1,$L172&lt;=5,ISNUMBER($N172),$N172&gt;=0,$O172="",$P172&lt;&gt;"",$Q172&lt;&gt;"",$R172="runner_monotonic_complete"),"ScorableComplete",IF(AND($A172&lt;&gt;"",$B172&lt;&gt;"",$C172&lt;&gt;"",$D172&lt;&gt;"",$E172&lt;&gt;"",$F172&lt;&gt;"",ISNUMBER($G172),$G172&gt;=1,OR($O172="insufficient_source_evidence",$O172="operational_failure"),$H172="",$J172="",$L172="",$N172="",$Q172&lt;&gt;"",$R172="runner_monotonic_not_scorable"),"NotScorable","Partial")))</x:f>
        <x:v>Pending</x:v>
      </x:c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50"/>
      <x:c r="O173" s="44"/>
      <x:c r="P173" s="53"/>
      <x:c r="Q173" s="53"/>
      <x:c r="R173" s="44"/>
      <x:c r="S173" s="47" t="str">
        <x:f>IF(COUNTA($H173:$R173)=0,"Pending",IF(AND($A173&lt;&gt;"",$B173&lt;&gt;"",$C173&lt;&gt;"",$D173&lt;&gt;"",$E173&lt;&gt;"",$F173&lt;&gt;"",ISNUMBER($G173),$G173&gt;=1,ISNUMBER($H173),MOD($H173,1)=0,$H173&gt;=1,$H173&lt;=5,ISNUMBER($J173),MOD($J173,1)=0,$J173&gt;=1,$J173&lt;=5,ISNUMBER($L173),MOD($L173,1)=0,$L173&gt;=1,$L173&lt;=5,ISNUMBER($N173),$N173&gt;=0,$O173="",$P173&lt;&gt;"",$Q173&lt;&gt;"",$R173="runner_monotonic_complete"),"ScorableComplete",IF(AND($A173&lt;&gt;"",$B173&lt;&gt;"",$C173&lt;&gt;"",$D173&lt;&gt;"",$E173&lt;&gt;"",$F173&lt;&gt;"",ISNUMBER($G173),$G173&gt;=1,OR($O173="insufficient_source_evidence",$O173="operational_failure"),$H173="",$J173="",$L173="",$N173="",$Q173&lt;&gt;"",$R173="runner_monotonic_not_scorable"),"NotScorable","Partial")))</x:f>
        <x:v>Pending</x:v>
      </x:c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50"/>
      <x:c r="O174" s="44"/>
      <x:c r="P174" s="53"/>
      <x:c r="Q174" s="53"/>
      <x:c r="R174" s="44"/>
      <x:c r="S174" s="47" t="str">
        <x:f>IF(COUNTA($H174:$R174)=0,"Pending",IF(AND($A174&lt;&gt;"",$B174&lt;&gt;"",$C174&lt;&gt;"",$D174&lt;&gt;"",$E174&lt;&gt;"",$F174&lt;&gt;"",ISNUMBER($G174),$G174&gt;=1,ISNUMBER($H174),MOD($H174,1)=0,$H174&gt;=1,$H174&lt;=5,ISNUMBER($J174),MOD($J174,1)=0,$J174&gt;=1,$J174&lt;=5,ISNUMBER($L174),MOD($L174,1)=0,$L174&gt;=1,$L174&lt;=5,ISNUMBER($N174),$N174&gt;=0,$O174="",$P174&lt;&gt;"",$Q174&lt;&gt;"",$R174="runner_monotonic_complete"),"ScorableComplete",IF(AND($A174&lt;&gt;"",$B174&lt;&gt;"",$C174&lt;&gt;"",$D174&lt;&gt;"",$E174&lt;&gt;"",$F174&lt;&gt;"",ISNUMBER($G174),$G174&gt;=1,OR($O174="insufficient_source_evidence",$O174="operational_failure"),$H174="",$J174="",$L174="",$N174="",$Q174&lt;&gt;"",$R174="runner_monotonic_not_scorable"),"NotScorable","Partial")))</x:f>
        <x:v>Pending</x:v>
      </x:c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50"/>
      <x:c r="O175" s="44"/>
      <x:c r="P175" s="53"/>
      <x:c r="Q175" s="53"/>
      <x:c r="R175" s="44"/>
      <x:c r="S175" s="47" t="str">
        <x:f>IF(COUNTA($H175:$R175)=0,"Pending",IF(AND($A175&lt;&gt;"",$B175&lt;&gt;"",$C175&lt;&gt;"",$D175&lt;&gt;"",$E175&lt;&gt;"",$F175&lt;&gt;"",ISNUMBER($G175),$G175&gt;=1,ISNUMBER($H175),MOD($H175,1)=0,$H175&gt;=1,$H175&lt;=5,ISNUMBER($J175),MOD($J175,1)=0,$J175&gt;=1,$J175&lt;=5,ISNUMBER($L175),MOD($L175,1)=0,$L175&gt;=1,$L175&lt;=5,ISNUMBER($N175),$N175&gt;=0,$O175="",$P175&lt;&gt;"",$Q175&lt;&gt;"",$R175="runner_monotonic_complete"),"ScorableComplete",IF(AND($A175&lt;&gt;"",$B175&lt;&gt;"",$C175&lt;&gt;"",$D175&lt;&gt;"",$E175&lt;&gt;"",$F175&lt;&gt;"",ISNUMBER($G175),$G175&gt;=1,OR($O175="insufficient_source_evidence",$O175="operational_failure"),$H175="",$J175="",$L175="",$N175="",$Q175&lt;&gt;"",$R175="runner_monotonic_not_scorable"),"NotScorable","Partial")))</x:f>
        <x:v>Pending</x:v>
      </x:c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50"/>
      <x:c r="O176" s="44"/>
      <x:c r="P176" s="53"/>
      <x:c r="Q176" s="53"/>
      <x:c r="R176" s="44"/>
      <x:c r="S176" s="47" t="str">
        <x:f>IF(COUNTA($H176:$R176)=0,"Pending",IF(AND($A176&lt;&gt;"",$B176&lt;&gt;"",$C176&lt;&gt;"",$D176&lt;&gt;"",$E176&lt;&gt;"",$F176&lt;&gt;"",ISNUMBER($G176),$G176&gt;=1,ISNUMBER($H176),MOD($H176,1)=0,$H176&gt;=1,$H176&lt;=5,ISNUMBER($J176),MOD($J176,1)=0,$J176&gt;=1,$J176&lt;=5,ISNUMBER($L176),MOD($L176,1)=0,$L176&gt;=1,$L176&lt;=5,ISNUMBER($N176),$N176&gt;=0,$O176="",$P176&lt;&gt;"",$Q176&lt;&gt;"",$R176="runner_monotonic_complete"),"ScorableComplete",IF(AND($A176&lt;&gt;"",$B176&lt;&gt;"",$C176&lt;&gt;"",$D176&lt;&gt;"",$E176&lt;&gt;"",$F176&lt;&gt;"",ISNUMBER($G176),$G176&gt;=1,OR($O176="insufficient_source_evidence",$O176="operational_failure"),$H176="",$J176="",$L176="",$N176="",$Q176&lt;&gt;"",$R176="runner_monotonic_not_scorable"),"NotScorable","Partial")))</x:f>
        <x:v>Pending</x:v>
      </x:c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50"/>
      <x:c r="O177" s="44"/>
      <x:c r="P177" s="53"/>
      <x:c r="Q177" s="53"/>
      <x:c r="R177" s="44"/>
      <x:c r="S177" s="47" t="str">
        <x:f>IF(COUNTA($H177:$R177)=0,"Pending",IF(AND($A177&lt;&gt;"",$B177&lt;&gt;"",$C177&lt;&gt;"",$D177&lt;&gt;"",$E177&lt;&gt;"",$F177&lt;&gt;"",ISNUMBER($G177),$G177&gt;=1,ISNUMBER($H177),MOD($H177,1)=0,$H177&gt;=1,$H177&lt;=5,ISNUMBER($J177),MOD($J177,1)=0,$J177&gt;=1,$J177&lt;=5,ISNUMBER($L177),MOD($L177,1)=0,$L177&gt;=1,$L177&lt;=5,ISNUMBER($N177),$N177&gt;=0,$O177="",$P177&lt;&gt;"",$Q177&lt;&gt;"",$R177="runner_monotonic_complete"),"ScorableComplete",IF(AND($A177&lt;&gt;"",$B177&lt;&gt;"",$C177&lt;&gt;"",$D177&lt;&gt;"",$E177&lt;&gt;"",$F177&lt;&gt;"",ISNUMBER($G177),$G177&gt;=1,OR($O177="insufficient_source_evidence",$O177="operational_failure"),$H177="",$J177="",$L177="",$N177="",$Q177&lt;&gt;"",$R177="runner_monotonic_not_scorable"),"NotScorable","Partial")))</x:f>
        <x:v>Pending</x:v>
      </x:c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50"/>
      <x:c r="O178" s="44"/>
      <x:c r="P178" s="53"/>
      <x:c r="Q178" s="53"/>
      <x:c r="R178" s="44"/>
      <x:c r="S178" s="47" t="str">
        <x:f>IF(COUNTA($H178:$R178)=0,"Pending",IF(AND($A178&lt;&gt;"",$B178&lt;&gt;"",$C178&lt;&gt;"",$D178&lt;&gt;"",$E178&lt;&gt;"",$F178&lt;&gt;"",ISNUMBER($G178),$G178&gt;=1,ISNUMBER($H178),MOD($H178,1)=0,$H178&gt;=1,$H178&lt;=5,ISNUMBER($J178),MOD($J178,1)=0,$J178&gt;=1,$J178&lt;=5,ISNUMBER($L178),MOD($L178,1)=0,$L178&gt;=1,$L178&lt;=5,ISNUMBER($N178),$N178&gt;=0,$O178="",$P178&lt;&gt;"",$Q178&lt;&gt;"",$R178="runner_monotonic_complete"),"ScorableComplete",IF(AND($A178&lt;&gt;"",$B178&lt;&gt;"",$C178&lt;&gt;"",$D178&lt;&gt;"",$E178&lt;&gt;"",$F178&lt;&gt;"",ISNUMBER($G178),$G178&gt;=1,OR($O178="insufficient_source_evidence",$O178="operational_failure"),$H178="",$J178="",$L178="",$N178="",$Q178&lt;&gt;"",$R178="runner_monotonic_not_scorable"),"NotScorable","Partial")))</x:f>
        <x:v>Pending</x:v>
      </x:c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50"/>
      <x:c r="O179" s="44"/>
      <x:c r="P179" s="53"/>
      <x:c r="Q179" s="53"/>
      <x:c r="R179" s="44"/>
      <x:c r="S179" s="47" t="str">
        <x:f>IF(COUNTA($H179:$R179)=0,"Pending",IF(AND($A179&lt;&gt;"",$B179&lt;&gt;"",$C179&lt;&gt;"",$D179&lt;&gt;"",$E179&lt;&gt;"",$F179&lt;&gt;"",ISNUMBER($G179),$G179&gt;=1,ISNUMBER($H179),MOD($H179,1)=0,$H179&gt;=1,$H179&lt;=5,ISNUMBER($J179),MOD($J179,1)=0,$J179&gt;=1,$J179&lt;=5,ISNUMBER($L179),MOD($L179,1)=0,$L179&gt;=1,$L179&lt;=5,ISNUMBER($N179),$N179&gt;=0,$O179="",$P179&lt;&gt;"",$Q179&lt;&gt;"",$R179="runner_monotonic_complete"),"ScorableComplete",IF(AND($A179&lt;&gt;"",$B179&lt;&gt;"",$C179&lt;&gt;"",$D179&lt;&gt;"",$E179&lt;&gt;"",$F179&lt;&gt;"",ISNUMBER($G179),$G179&gt;=1,OR($O179="insufficient_source_evidence",$O179="operational_failure"),$H179="",$J179="",$L179="",$N179="",$Q179&lt;&gt;"",$R179="runner_monotonic_not_scorable"),"NotScorable","Partial")))</x:f>
        <x:v>Pending</x:v>
      </x:c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50"/>
      <x:c r="O180" s="44"/>
      <x:c r="P180" s="53"/>
      <x:c r="Q180" s="53"/>
      <x:c r="R180" s="44"/>
      <x:c r="S180" s="47" t="str">
        <x:f>IF(COUNTA($H180:$R180)=0,"Pending",IF(AND($A180&lt;&gt;"",$B180&lt;&gt;"",$C180&lt;&gt;"",$D180&lt;&gt;"",$E180&lt;&gt;"",$F180&lt;&gt;"",ISNUMBER($G180),$G180&gt;=1,ISNUMBER($H180),MOD($H180,1)=0,$H180&gt;=1,$H180&lt;=5,ISNUMBER($J180),MOD($J180,1)=0,$J180&gt;=1,$J180&lt;=5,ISNUMBER($L180),MOD($L180,1)=0,$L180&gt;=1,$L180&lt;=5,ISNUMBER($N180),$N180&gt;=0,$O180="",$P180&lt;&gt;"",$Q180&lt;&gt;"",$R180="runner_monotonic_complete"),"ScorableComplete",IF(AND($A180&lt;&gt;"",$B180&lt;&gt;"",$C180&lt;&gt;"",$D180&lt;&gt;"",$E180&lt;&gt;"",$F180&lt;&gt;"",ISNUMBER($G180),$G180&gt;=1,OR($O180="insufficient_source_evidence",$O180="operational_failure"),$H180="",$J180="",$L180="",$N180="",$Q180&lt;&gt;"",$R180="runner_monotonic_not_scorable"),"NotScorable","Partial")))</x:f>
        <x:v>Pending</x:v>
      </x:c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50"/>
      <x:c r="O181" s="44"/>
      <x:c r="P181" s="53"/>
      <x:c r="Q181" s="53"/>
      <x:c r="R181" s="44"/>
      <x:c r="S181" s="47" t="str">
        <x:f>IF(COUNTA($H181:$R181)=0,"Pending",IF(AND($A181&lt;&gt;"",$B181&lt;&gt;"",$C181&lt;&gt;"",$D181&lt;&gt;"",$E181&lt;&gt;"",$F181&lt;&gt;"",ISNUMBER($G181),$G181&gt;=1,ISNUMBER($H181),MOD($H181,1)=0,$H181&gt;=1,$H181&lt;=5,ISNUMBER($J181),MOD($J181,1)=0,$J181&gt;=1,$J181&lt;=5,ISNUMBER($L181),MOD($L181,1)=0,$L181&gt;=1,$L181&lt;=5,ISNUMBER($N181),$N181&gt;=0,$O181="",$P181&lt;&gt;"",$Q181&lt;&gt;"",$R181="runner_monotonic_complete"),"ScorableComplete",IF(AND($A181&lt;&gt;"",$B181&lt;&gt;"",$C181&lt;&gt;"",$D181&lt;&gt;"",$E181&lt;&gt;"",$F181&lt;&gt;"",ISNUMBER($G181),$G181&gt;=1,OR($O181="insufficient_source_evidence",$O181="operational_failure"),$H181="",$J181="",$L181="",$N181="",$Q181&lt;&gt;"",$R181="runner_monotonic_not_scorable"),"NotScorable","Partial")))</x:f>
        <x:v>Pending</x:v>
      </x:c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50"/>
      <x:c r="O182" s="44"/>
      <x:c r="P182" s="53"/>
      <x:c r="Q182" s="53"/>
      <x:c r="R182" s="44"/>
      <x:c r="S182" s="47" t="str">
        <x:f>IF(COUNTA($H182:$R182)=0,"Pending",IF(AND($A182&lt;&gt;"",$B182&lt;&gt;"",$C182&lt;&gt;"",$D182&lt;&gt;"",$E182&lt;&gt;"",$F182&lt;&gt;"",ISNUMBER($G182),$G182&gt;=1,ISNUMBER($H182),MOD($H182,1)=0,$H182&gt;=1,$H182&lt;=5,ISNUMBER($J182),MOD($J182,1)=0,$J182&gt;=1,$J182&lt;=5,ISNUMBER($L182),MOD($L182,1)=0,$L182&gt;=1,$L182&lt;=5,ISNUMBER($N182),$N182&gt;=0,$O182="",$P182&lt;&gt;"",$Q182&lt;&gt;"",$R182="runner_monotonic_complete"),"ScorableComplete",IF(AND($A182&lt;&gt;"",$B182&lt;&gt;"",$C182&lt;&gt;"",$D182&lt;&gt;"",$E182&lt;&gt;"",$F182&lt;&gt;"",ISNUMBER($G182),$G182&gt;=1,OR($O182="insufficient_source_evidence",$O182="operational_failure"),$H182="",$J182="",$L182="",$N182="",$Q182&lt;&gt;"",$R182="runner_monotonic_not_scorable"),"NotScorable","Partial")))</x:f>
        <x:v>Pending</x:v>
      </x:c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50"/>
      <x:c r="O183" s="44"/>
      <x:c r="P183" s="53"/>
      <x:c r="Q183" s="53"/>
      <x:c r="R183" s="44"/>
      <x:c r="S183" s="47" t="str">
        <x:f>IF(COUNTA($H183:$R183)=0,"Pending",IF(AND($A183&lt;&gt;"",$B183&lt;&gt;"",$C183&lt;&gt;"",$D183&lt;&gt;"",$E183&lt;&gt;"",$F183&lt;&gt;"",ISNUMBER($G183),$G183&gt;=1,ISNUMBER($H183),MOD($H183,1)=0,$H183&gt;=1,$H183&lt;=5,ISNUMBER($J183),MOD($J183,1)=0,$J183&gt;=1,$J183&lt;=5,ISNUMBER($L183),MOD($L183,1)=0,$L183&gt;=1,$L183&lt;=5,ISNUMBER($N183),$N183&gt;=0,$O183="",$P183&lt;&gt;"",$Q183&lt;&gt;"",$R183="runner_monotonic_complete"),"ScorableComplete",IF(AND($A183&lt;&gt;"",$B183&lt;&gt;"",$C183&lt;&gt;"",$D183&lt;&gt;"",$E183&lt;&gt;"",$F183&lt;&gt;"",ISNUMBER($G183),$G183&gt;=1,OR($O183="insufficient_source_evidence",$O183="operational_failure"),$H183="",$J183="",$L183="",$N183="",$Q183&lt;&gt;"",$R183="runner_monotonic_not_scorable"),"NotScorable","Partial")))</x:f>
        <x:v>Pending</x:v>
      </x:c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50"/>
      <x:c r="O184" s="44"/>
      <x:c r="P184" s="53"/>
      <x:c r="Q184" s="53"/>
      <x:c r="R184" s="44"/>
      <x:c r="S184" s="47" t="str">
        <x:f>IF(COUNTA($H184:$R184)=0,"Pending",IF(AND($A184&lt;&gt;"",$B184&lt;&gt;"",$C184&lt;&gt;"",$D184&lt;&gt;"",$E184&lt;&gt;"",$F184&lt;&gt;"",ISNUMBER($G184),$G184&gt;=1,ISNUMBER($H184),MOD($H184,1)=0,$H184&gt;=1,$H184&lt;=5,ISNUMBER($J184),MOD($J184,1)=0,$J184&gt;=1,$J184&lt;=5,ISNUMBER($L184),MOD($L184,1)=0,$L184&gt;=1,$L184&lt;=5,ISNUMBER($N184),$N184&gt;=0,$O184="",$P184&lt;&gt;"",$Q184&lt;&gt;"",$R184="runner_monotonic_complete"),"ScorableComplete",IF(AND($A184&lt;&gt;"",$B184&lt;&gt;"",$C184&lt;&gt;"",$D184&lt;&gt;"",$E184&lt;&gt;"",$F184&lt;&gt;"",ISNUMBER($G184),$G184&gt;=1,OR($O184="insufficient_source_evidence",$O184="operational_failure"),$H184="",$J184="",$L184="",$N184="",$Q184&lt;&gt;"",$R184="runner_monotonic_not_scorable"),"NotScorable","Partial")))</x:f>
        <x:v>Pending</x:v>
      </x:c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50"/>
      <x:c r="O185" s="44"/>
      <x:c r="P185" s="53"/>
      <x:c r="Q185" s="53"/>
      <x:c r="R185" s="44"/>
      <x:c r="S185" s="47" t="str">
        <x:f>IF(COUNTA($H185:$R185)=0,"Pending",IF(AND($A185&lt;&gt;"",$B185&lt;&gt;"",$C185&lt;&gt;"",$D185&lt;&gt;"",$E185&lt;&gt;"",$F185&lt;&gt;"",ISNUMBER($G185),$G185&gt;=1,ISNUMBER($H185),MOD($H185,1)=0,$H185&gt;=1,$H185&lt;=5,ISNUMBER($J185),MOD($J185,1)=0,$J185&gt;=1,$J185&lt;=5,ISNUMBER($L185),MOD($L185,1)=0,$L185&gt;=1,$L185&lt;=5,ISNUMBER($N185),$N185&gt;=0,$O185="",$P185&lt;&gt;"",$Q185&lt;&gt;"",$R185="runner_monotonic_complete"),"ScorableComplete",IF(AND($A185&lt;&gt;"",$B185&lt;&gt;"",$C185&lt;&gt;"",$D185&lt;&gt;"",$E185&lt;&gt;"",$F185&lt;&gt;"",ISNUMBER($G185),$G185&gt;=1,OR($O185="insufficient_source_evidence",$O185="operational_failure"),$H185="",$J185="",$L185="",$N185="",$Q185&lt;&gt;"",$R185="runner_monotonic_not_scorable"),"NotScorable","Partial")))</x:f>
        <x:v>Pending</x:v>
      </x:c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50"/>
      <x:c r="O186" s="44"/>
      <x:c r="P186" s="53"/>
      <x:c r="Q186" s="53"/>
      <x:c r="R186" s="44"/>
      <x:c r="S186" s="47" t="str">
        <x:f>IF(COUNTA($H186:$R186)=0,"Pending",IF(AND($A186&lt;&gt;"",$B186&lt;&gt;"",$C186&lt;&gt;"",$D186&lt;&gt;"",$E186&lt;&gt;"",$F186&lt;&gt;"",ISNUMBER($G186),$G186&gt;=1,ISNUMBER($H186),MOD($H186,1)=0,$H186&gt;=1,$H186&lt;=5,ISNUMBER($J186),MOD($J186,1)=0,$J186&gt;=1,$J186&lt;=5,ISNUMBER($L186),MOD($L186,1)=0,$L186&gt;=1,$L186&lt;=5,ISNUMBER($N186),$N186&gt;=0,$O186="",$P186&lt;&gt;"",$Q186&lt;&gt;"",$R186="runner_monotonic_complete"),"ScorableComplete",IF(AND($A186&lt;&gt;"",$B186&lt;&gt;"",$C186&lt;&gt;"",$D186&lt;&gt;"",$E186&lt;&gt;"",$F186&lt;&gt;"",ISNUMBER($G186),$G186&gt;=1,OR($O186="insufficient_source_evidence",$O186="operational_failure"),$H186="",$J186="",$L186="",$N186="",$Q186&lt;&gt;"",$R186="runner_monotonic_not_scorable"),"NotScorable","Partial")))</x:f>
        <x:v>Pending</x:v>
      </x:c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50"/>
      <x:c r="O187" s="44"/>
      <x:c r="P187" s="53"/>
      <x:c r="Q187" s="53"/>
      <x:c r="R187" s="44"/>
      <x:c r="S187" s="47" t="str">
        <x:f>IF(COUNTA($H187:$R187)=0,"Pending",IF(AND($A187&lt;&gt;"",$B187&lt;&gt;"",$C187&lt;&gt;"",$D187&lt;&gt;"",$E187&lt;&gt;"",$F187&lt;&gt;"",ISNUMBER($G187),$G187&gt;=1,ISNUMBER($H187),MOD($H187,1)=0,$H187&gt;=1,$H187&lt;=5,ISNUMBER($J187),MOD($J187,1)=0,$J187&gt;=1,$J187&lt;=5,ISNUMBER($L187),MOD($L187,1)=0,$L187&gt;=1,$L187&lt;=5,ISNUMBER($N187),$N187&gt;=0,$O187="",$P187&lt;&gt;"",$Q187&lt;&gt;"",$R187="runner_monotonic_complete"),"ScorableComplete",IF(AND($A187&lt;&gt;"",$B187&lt;&gt;"",$C187&lt;&gt;"",$D187&lt;&gt;"",$E187&lt;&gt;"",$F187&lt;&gt;"",ISNUMBER($G187),$G187&gt;=1,OR($O187="insufficient_source_evidence",$O187="operational_failure"),$H187="",$J187="",$L187="",$N187="",$Q187&lt;&gt;"",$R187="runner_monotonic_not_scorable"),"NotScorable","Partial")))</x:f>
        <x:v>Pending</x:v>
      </x:c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50"/>
      <x:c r="O188" s="44"/>
      <x:c r="P188" s="53"/>
      <x:c r="Q188" s="53"/>
      <x:c r="R188" s="44"/>
      <x:c r="S188" s="47" t="str">
        <x:f>IF(COUNTA($H188:$R188)=0,"Pending",IF(AND($A188&lt;&gt;"",$B188&lt;&gt;"",$C188&lt;&gt;"",$D188&lt;&gt;"",$E188&lt;&gt;"",$F188&lt;&gt;"",ISNUMBER($G188),$G188&gt;=1,ISNUMBER($H188),MOD($H188,1)=0,$H188&gt;=1,$H188&lt;=5,ISNUMBER($J188),MOD($J188,1)=0,$J188&gt;=1,$J188&lt;=5,ISNUMBER($L188),MOD($L188,1)=0,$L188&gt;=1,$L188&lt;=5,ISNUMBER($N188),$N188&gt;=0,$O188="",$P188&lt;&gt;"",$Q188&lt;&gt;"",$R188="runner_monotonic_complete"),"ScorableComplete",IF(AND($A188&lt;&gt;"",$B188&lt;&gt;"",$C188&lt;&gt;"",$D188&lt;&gt;"",$E188&lt;&gt;"",$F188&lt;&gt;"",ISNUMBER($G188),$G188&gt;=1,OR($O188="insufficient_source_evidence",$O188="operational_failure"),$H188="",$J188="",$L188="",$N188="",$Q188&lt;&gt;"",$R188="runner_monotonic_not_scorable"),"NotScorable","Partial")))</x:f>
        <x:v>Pending</x:v>
      </x:c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50"/>
      <x:c r="O189" s="44"/>
      <x:c r="P189" s="53"/>
      <x:c r="Q189" s="53"/>
      <x:c r="R189" s="44"/>
      <x:c r="S189" s="47" t="str">
        <x:f>IF(COUNTA($H189:$R189)=0,"Pending",IF(AND($A189&lt;&gt;"",$B189&lt;&gt;"",$C189&lt;&gt;"",$D189&lt;&gt;"",$E189&lt;&gt;"",$F189&lt;&gt;"",ISNUMBER($G189),$G189&gt;=1,ISNUMBER($H189),MOD($H189,1)=0,$H189&gt;=1,$H189&lt;=5,ISNUMBER($J189),MOD($J189,1)=0,$J189&gt;=1,$J189&lt;=5,ISNUMBER($L189),MOD($L189,1)=0,$L189&gt;=1,$L189&lt;=5,ISNUMBER($N189),$N189&gt;=0,$O189="",$P189&lt;&gt;"",$Q189&lt;&gt;"",$R189="runner_monotonic_complete"),"ScorableComplete",IF(AND($A189&lt;&gt;"",$B189&lt;&gt;"",$C189&lt;&gt;"",$D189&lt;&gt;"",$E189&lt;&gt;"",$F189&lt;&gt;"",ISNUMBER($G189),$G189&gt;=1,OR($O189="insufficient_source_evidence",$O189="operational_failure"),$H189="",$J189="",$L189="",$N189="",$Q189&lt;&gt;"",$R189="runner_monotonic_not_scorable"),"NotScorable","Partial")))</x:f>
        <x:v>Pending</x:v>
      </x:c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50"/>
      <x:c r="O190" s="44"/>
      <x:c r="P190" s="53"/>
      <x:c r="Q190" s="53"/>
      <x:c r="R190" s="44"/>
      <x:c r="S190" s="47" t="str">
        <x:f>IF(COUNTA($H190:$R190)=0,"Pending",IF(AND($A190&lt;&gt;"",$B190&lt;&gt;"",$C190&lt;&gt;"",$D190&lt;&gt;"",$E190&lt;&gt;"",$F190&lt;&gt;"",ISNUMBER($G190),$G190&gt;=1,ISNUMBER($H190),MOD($H190,1)=0,$H190&gt;=1,$H190&lt;=5,ISNUMBER($J190),MOD($J190,1)=0,$J190&gt;=1,$J190&lt;=5,ISNUMBER($L190),MOD($L190,1)=0,$L190&gt;=1,$L190&lt;=5,ISNUMBER($N190),$N190&gt;=0,$O190="",$P190&lt;&gt;"",$Q190&lt;&gt;"",$R190="runner_monotonic_complete"),"ScorableComplete",IF(AND($A190&lt;&gt;"",$B190&lt;&gt;"",$C190&lt;&gt;"",$D190&lt;&gt;"",$E190&lt;&gt;"",$F190&lt;&gt;"",ISNUMBER($G190),$G190&gt;=1,OR($O190="insufficient_source_evidence",$O190="operational_failure"),$H190="",$J190="",$L190="",$N190="",$Q190&lt;&gt;"",$R190="runner_monotonic_not_scorable"),"NotScorable","Partial")))</x:f>
        <x:v>Pending</x:v>
      </x:c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50"/>
      <x:c r="O191" s="44"/>
      <x:c r="P191" s="53"/>
      <x:c r="Q191" s="53"/>
      <x:c r="R191" s="44"/>
      <x:c r="S191" s="47" t="str">
        <x:f>IF(COUNTA($H191:$R191)=0,"Pending",IF(AND($A191&lt;&gt;"",$B191&lt;&gt;"",$C191&lt;&gt;"",$D191&lt;&gt;"",$E191&lt;&gt;"",$F191&lt;&gt;"",ISNUMBER($G191),$G191&gt;=1,ISNUMBER($H191),MOD($H191,1)=0,$H191&gt;=1,$H191&lt;=5,ISNUMBER($J191),MOD($J191,1)=0,$J191&gt;=1,$J191&lt;=5,ISNUMBER($L191),MOD($L191,1)=0,$L191&gt;=1,$L191&lt;=5,ISNUMBER($N191),$N191&gt;=0,$O191="",$P191&lt;&gt;"",$Q191&lt;&gt;"",$R191="runner_monotonic_complete"),"ScorableComplete",IF(AND($A191&lt;&gt;"",$B191&lt;&gt;"",$C191&lt;&gt;"",$D191&lt;&gt;"",$E191&lt;&gt;"",$F191&lt;&gt;"",ISNUMBER($G191),$G191&gt;=1,OR($O191="insufficient_source_evidence",$O191="operational_failure"),$H191="",$J191="",$L191="",$N191="",$Q191&lt;&gt;"",$R191="runner_monotonic_not_scorable"),"NotScorable","Partial")))</x:f>
        <x:v>Pending</x:v>
      </x:c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50"/>
      <x:c r="O192" s="44"/>
      <x:c r="P192" s="53"/>
      <x:c r="Q192" s="53"/>
      <x:c r="R192" s="44"/>
      <x:c r="S192" s="47" t="str">
        <x:f>IF(COUNTA($H192:$R192)=0,"Pending",IF(AND($A192&lt;&gt;"",$B192&lt;&gt;"",$C192&lt;&gt;"",$D192&lt;&gt;"",$E192&lt;&gt;"",$F192&lt;&gt;"",ISNUMBER($G192),$G192&gt;=1,ISNUMBER($H192),MOD($H192,1)=0,$H192&gt;=1,$H192&lt;=5,ISNUMBER($J192),MOD($J192,1)=0,$J192&gt;=1,$J192&lt;=5,ISNUMBER($L192),MOD($L192,1)=0,$L192&gt;=1,$L192&lt;=5,ISNUMBER($N192),$N192&gt;=0,$O192="",$P192&lt;&gt;"",$Q192&lt;&gt;"",$R192="runner_monotonic_complete"),"ScorableComplete",IF(AND($A192&lt;&gt;"",$B192&lt;&gt;"",$C192&lt;&gt;"",$D192&lt;&gt;"",$E192&lt;&gt;"",$F192&lt;&gt;"",ISNUMBER($G192),$G192&gt;=1,OR($O192="insufficient_source_evidence",$O192="operational_failure"),$H192="",$J192="",$L192="",$N192="",$Q192&lt;&gt;"",$R192="runner_monotonic_not_scorable"),"NotScorable","Partial")))</x:f>
        <x:v>Pending</x:v>
      </x:c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50"/>
      <x:c r="O193" s="44"/>
      <x:c r="P193" s="53"/>
      <x:c r="Q193" s="53"/>
      <x:c r="R193" s="44"/>
      <x:c r="S193" s="47" t="str">
        <x:f>IF(COUNTA($H193:$R193)=0,"Pending",IF(AND($A193&lt;&gt;"",$B193&lt;&gt;"",$C193&lt;&gt;"",$D193&lt;&gt;"",$E193&lt;&gt;"",$F193&lt;&gt;"",ISNUMBER($G193),$G193&gt;=1,ISNUMBER($H193),MOD($H193,1)=0,$H193&gt;=1,$H193&lt;=5,ISNUMBER($J193),MOD($J193,1)=0,$J193&gt;=1,$J193&lt;=5,ISNUMBER($L193),MOD($L193,1)=0,$L193&gt;=1,$L193&lt;=5,ISNUMBER($N193),$N193&gt;=0,$O193="",$P193&lt;&gt;"",$Q193&lt;&gt;"",$R193="runner_monotonic_complete"),"ScorableComplete",IF(AND($A193&lt;&gt;"",$B193&lt;&gt;"",$C193&lt;&gt;"",$D193&lt;&gt;"",$E193&lt;&gt;"",$F193&lt;&gt;"",ISNUMBER($G193),$G193&gt;=1,OR($O193="insufficient_source_evidence",$O193="operational_failure"),$H193="",$J193="",$L193="",$N193="",$Q193&lt;&gt;"",$R193="runner_monotonic_not_scorable"),"NotScorable","Partial")))</x:f>
        <x:v>Pending</x:v>
      </x:c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50"/>
      <x:c r="O194" s="44"/>
      <x:c r="P194" s="53"/>
      <x:c r="Q194" s="53"/>
      <x:c r="R194" s="44"/>
      <x:c r="S194" s="47" t="str">
        <x:f>IF(COUNTA($H194:$R194)=0,"Pending",IF(AND($A194&lt;&gt;"",$B194&lt;&gt;"",$C194&lt;&gt;"",$D194&lt;&gt;"",$E194&lt;&gt;"",$F194&lt;&gt;"",ISNUMBER($G194),$G194&gt;=1,ISNUMBER($H194),MOD($H194,1)=0,$H194&gt;=1,$H194&lt;=5,ISNUMBER($J194),MOD($J194,1)=0,$J194&gt;=1,$J194&lt;=5,ISNUMBER($L194),MOD($L194,1)=0,$L194&gt;=1,$L194&lt;=5,ISNUMBER($N194),$N194&gt;=0,$O194="",$P194&lt;&gt;"",$Q194&lt;&gt;"",$R194="runner_monotonic_complete"),"ScorableComplete",IF(AND($A194&lt;&gt;"",$B194&lt;&gt;"",$C194&lt;&gt;"",$D194&lt;&gt;"",$E194&lt;&gt;"",$F194&lt;&gt;"",ISNUMBER($G194),$G194&gt;=1,OR($O194="insufficient_source_evidence",$O194="operational_failure"),$H194="",$J194="",$L194="",$N194="",$Q194&lt;&gt;"",$R194="runner_monotonic_not_scorable"),"NotScorable","Partial")))</x:f>
        <x:v>Pending</x:v>
      </x:c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50"/>
      <x:c r="O195" s="44"/>
      <x:c r="P195" s="53"/>
      <x:c r="Q195" s="53"/>
      <x:c r="R195" s="44"/>
      <x:c r="S195" s="47" t="str">
        <x:f>IF(COUNTA($H195:$R195)=0,"Pending",IF(AND($A195&lt;&gt;"",$B195&lt;&gt;"",$C195&lt;&gt;"",$D195&lt;&gt;"",$E195&lt;&gt;"",$F195&lt;&gt;"",ISNUMBER($G195),$G195&gt;=1,ISNUMBER($H195),MOD($H195,1)=0,$H195&gt;=1,$H195&lt;=5,ISNUMBER($J195),MOD($J195,1)=0,$J195&gt;=1,$J195&lt;=5,ISNUMBER($L195),MOD($L195,1)=0,$L195&gt;=1,$L195&lt;=5,ISNUMBER($N195),$N195&gt;=0,$O195="",$P195&lt;&gt;"",$Q195&lt;&gt;"",$R195="runner_monotonic_complete"),"ScorableComplete",IF(AND($A195&lt;&gt;"",$B195&lt;&gt;"",$C195&lt;&gt;"",$D195&lt;&gt;"",$E195&lt;&gt;"",$F195&lt;&gt;"",ISNUMBER($G195),$G195&gt;=1,OR($O195="insufficient_source_evidence",$O195="operational_failure"),$H195="",$J195="",$L195="",$N195="",$Q195&lt;&gt;"",$R195="runner_monotonic_not_scorable"),"NotScorable","Partial")))</x:f>
        <x:v>Pending</x:v>
      </x:c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50"/>
      <x:c r="O196" s="44"/>
      <x:c r="P196" s="53"/>
      <x:c r="Q196" s="53"/>
      <x:c r="R196" s="44"/>
      <x:c r="S196" s="47" t="str">
        <x:f>IF(COUNTA($H196:$R196)=0,"Pending",IF(AND($A196&lt;&gt;"",$B196&lt;&gt;"",$C196&lt;&gt;"",$D196&lt;&gt;"",$E196&lt;&gt;"",$F196&lt;&gt;"",ISNUMBER($G196),$G196&gt;=1,ISNUMBER($H196),MOD($H196,1)=0,$H196&gt;=1,$H196&lt;=5,ISNUMBER($J196),MOD($J196,1)=0,$J196&gt;=1,$J196&lt;=5,ISNUMBER($L196),MOD($L196,1)=0,$L196&gt;=1,$L196&lt;=5,ISNUMBER($N196),$N196&gt;=0,$O196="",$P196&lt;&gt;"",$Q196&lt;&gt;"",$R196="runner_monotonic_complete"),"ScorableComplete",IF(AND($A196&lt;&gt;"",$B196&lt;&gt;"",$C196&lt;&gt;"",$D196&lt;&gt;"",$E196&lt;&gt;"",$F196&lt;&gt;"",ISNUMBER($G196),$G196&gt;=1,OR($O196="insufficient_source_evidence",$O196="operational_failure"),$H196="",$J196="",$L196="",$N196="",$Q196&lt;&gt;"",$R196="runner_monotonic_not_scorable"),"NotScorable","Partial")))</x:f>
        <x:v>Pending</x:v>
      </x:c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50"/>
      <x:c r="O197" s="44"/>
      <x:c r="P197" s="53"/>
      <x:c r="Q197" s="53"/>
      <x:c r="R197" s="44"/>
      <x:c r="S197" s="47" t="str">
        <x:f>IF(COUNTA($H197:$R197)=0,"Pending",IF(AND($A197&lt;&gt;"",$B197&lt;&gt;"",$C197&lt;&gt;"",$D197&lt;&gt;"",$E197&lt;&gt;"",$F197&lt;&gt;"",ISNUMBER($G197),$G197&gt;=1,ISNUMBER($H197),MOD($H197,1)=0,$H197&gt;=1,$H197&lt;=5,ISNUMBER($J197),MOD($J197,1)=0,$J197&gt;=1,$J197&lt;=5,ISNUMBER($L197),MOD($L197,1)=0,$L197&gt;=1,$L197&lt;=5,ISNUMBER($N197),$N197&gt;=0,$O197="",$P197&lt;&gt;"",$Q197&lt;&gt;"",$R197="runner_monotonic_complete"),"ScorableComplete",IF(AND($A197&lt;&gt;"",$B197&lt;&gt;"",$C197&lt;&gt;"",$D197&lt;&gt;"",$E197&lt;&gt;"",$F197&lt;&gt;"",ISNUMBER($G197),$G197&gt;=1,OR($O197="insufficient_source_evidence",$O197="operational_failure"),$H197="",$J197="",$L197="",$N197="",$Q197&lt;&gt;"",$R197="runner_monotonic_not_scorable"),"NotScorable","Partial")))</x:f>
        <x:v>Pending</x:v>
      </x:c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50"/>
      <x:c r="O198" s="44"/>
      <x:c r="P198" s="53"/>
      <x:c r="Q198" s="53"/>
      <x:c r="R198" s="44"/>
      <x:c r="S198" s="47" t="str">
        <x:f>IF(COUNTA($H198:$R198)=0,"Pending",IF(AND($A198&lt;&gt;"",$B198&lt;&gt;"",$C198&lt;&gt;"",$D198&lt;&gt;"",$E198&lt;&gt;"",$F198&lt;&gt;"",ISNUMBER($G198),$G198&gt;=1,ISNUMBER($H198),MOD($H198,1)=0,$H198&gt;=1,$H198&lt;=5,ISNUMBER($J198),MOD($J198,1)=0,$J198&gt;=1,$J198&lt;=5,ISNUMBER($L198),MOD($L198,1)=0,$L198&gt;=1,$L198&lt;=5,ISNUMBER($N198),$N198&gt;=0,$O198="",$P198&lt;&gt;"",$Q198&lt;&gt;"",$R198="runner_monotonic_complete"),"ScorableComplete",IF(AND($A198&lt;&gt;"",$B198&lt;&gt;"",$C198&lt;&gt;"",$D198&lt;&gt;"",$E198&lt;&gt;"",$F198&lt;&gt;"",ISNUMBER($G198),$G198&gt;=1,OR($O198="insufficient_source_evidence",$O198="operational_failure"),$H198="",$J198="",$L198="",$N198="",$Q198&lt;&gt;"",$R198="runner_monotonic_not_scorable"),"NotScorable","Partial")))</x:f>
        <x:v>Pending</x:v>
      </x:c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50"/>
      <x:c r="O199" s="44"/>
      <x:c r="P199" s="53"/>
      <x:c r="Q199" s="53"/>
      <x:c r="R199" s="44"/>
      <x:c r="S199" s="47" t="str">
        <x:f>IF(COUNTA($H199:$R199)=0,"Pending",IF(AND($A199&lt;&gt;"",$B199&lt;&gt;"",$C199&lt;&gt;"",$D199&lt;&gt;"",$E199&lt;&gt;"",$F199&lt;&gt;"",ISNUMBER($G199),$G199&gt;=1,ISNUMBER($H199),MOD($H199,1)=0,$H199&gt;=1,$H199&lt;=5,ISNUMBER($J199),MOD($J199,1)=0,$J199&gt;=1,$J199&lt;=5,ISNUMBER($L199),MOD($L199,1)=0,$L199&gt;=1,$L199&lt;=5,ISNUMBER($N199),$N199&gt;=0,$O199="",$P199&lt;&gt;"",$Q199&lt;&gt;"",$R199="runner_monotonic_complete"),"ScorableComplete",IF(AND($A199&lt;&gt;"",$B199&lt;&gt;"",$C199&lt;&gt;"",$D199&lt;&gt;"",$E199&lt;&gt;"",$F199&lt;&gt;"",ISNUMBER($G199),$G199&gt;=1,OR($O199="insufficient_source_evidence",$O199="operational_failure"),$H199="",$J199="",$L199="",$N199="",$Q199&lt;&gt;"",$R199="runner_monotonic_not_scorable"),"NotScorable","Partial")))</x:f>
        <x:v>Pending</x:v>
      </x:c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50"/>
      <x:c r="O200" s="44"/>
      <x:c r="P200" s="53"/>
      <x:c r="Q200" s="53"/>
      <x:c r="R200" s="44"/>
      <x:c r="S200" s="47" t="str">
        <x:f>IF(COUNTA($H200:$R200)=0,"Pending",IF(AND($A200&lt;&gt;"",$B200&lt;&gt;"",$C200&lt;&gt;"",$D200&lt;&gt;"",$E200&lt;&gt;"",$F200&lt;&gt;"",ISNUMBER($G200),$G200&gt;=1,ISNUMBER($H200),MOD($H200,1)=0,$H200&gt;=1,$H200&lt;=5,ISNUMBER($J200),MOD($J200,1)=0,$J200&gt;=1,$J200&lt;=5,ISNUMBER($L200),MOD($L200,1)=0,$L200&gt;=1,$L200&lt;=5,ISNUMBER($N200),$N200&gt;=0,$O200="",$P200&lt;&gt;"",$Q200&lt;&gt;"",$R200="runner_monotonic_complete"),"ScorableComplete",IF(AND($A200&lt;&gt;"",$B200&lt;&gt;"",$C200&lt;&gt;"",$D200&lt;&gt;"",$E200&lt;&gt;"",$F200&lt;&gt;"",ISNUMBER($G200),$G200&gt;=1,OR($O200="insufficient_source_evidence",$O200="operational_failure"),$H200="",$J200="",$L200="",$N200="",$Q200&lt;&gt;"",$R200="runner_monotonic_not_scorable"),"NotScorable","Partial")))</x:f>
        <x:v>Pending</x:v>
      </x:c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50"/>
      <x:c r="O201" s="44"/>
      <x:c r="P201" s="53"/>
      <x:c r="Q201" s="53"/>
      <x:c r="R201" s="44"/>
      <x:c r="S201" s="47" t="str">
        <x:f>IF(COUNTA($H201:$R201)=0,"Pending",IF(AND($A201&lt;&gt;"",$B201&lt;&gt;"",$C201&lt;&gt;"",$D201&lt;&gt;"",$E201&lt;&gt;"",$F201&lt;&gt;"",ISNUMBER($G201),$G201&gt;=1,ISNUMBER($H201),MOD($H201,1)=0,$H201&gt;=1,$H201&lt;=5,ISNUMBER($J201),MOD($J201,1)=0,$J201&gt;=1,$J201&lt;=5,ISNUMBER($L201),MOD($L201,1)=0,$L201&gt;=1,$L201&lt;=5,ISNUMBER($N201),$N201&gt;=0,$O201="",$P201&lt;&gt;"",$Q201&lt;&gt;"",$R201="runner_monotonic_complete"),"ScorableComplete",IF(AND($A201&lt;&gt;"",$B201&lt;&gt;"",$C201&lt;&gt;"",$D201&lt;&gt;"",$E201&lt;&gt;"",$F201&lt;&gt;"",ISNUMBER($G201),$G201&gt;=1,OR($O201="insufficient_source_evidence",$O201="operational_failure"),$H201="",$J201="",$L201="",$N201="",$Q201&lt;&gt;"",$R201="runner_monotonic_not_scorable"),"NotScorable","Partial")))</x:f>
        <x:v>Pending</x:v>
      </x:c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50"/>
      <x:c r="O202" s="44"/>
      <x:c r="P202" s="53"/>
      <x:c r="Q202" s="53"/>
      <x:c r="R202" s="44"/>
      <x:c r="S202" s="47" t="str">
        <x:f>IF(COUNTA($H202:$R202)=0,"Pending",IF(AND($A202&lt;&gt;"",$B202&lt;&gt;"",$C202&lt;&gt;"",$D202&lt;&gt;"",$E202&lt;&gt;"",$F202&lt;&gt;"",ISNUMBER($G202),$G202&gt;=1,ISNUMBER($H202),MOD($H202,1)=0,$H202&gt;=1,$H202&lt;=5,ISNUMBER($J202),MOD($J202,1)=0,$J202&gt;=1,$J202&lt;=5,ISNUMBER($L202),MOD($L202,1)=0,$L202&gt;=1,$L202&lt;=5,ISNUMBER($N202),$N202&gt;=0,$O202="",$P202&lt;&gt;"",$Q202&lt;&gt;"",$R202="runner_monotonic_complete"),"ScorableComplete",IF(AND($A202&lt;&gt;"",$B202&lt;&gt;"",$C202&lt;&gt;"",$D202&lt;&gt;"",$E202&lt;&gt;"",$F202&lt;&gt;"",ISNUMBER($G202),$G202&gt;=1,OR($O202="insufficient_source_evidence",$O202="operational_failure"),$H202="",$J202="",$L202="",$N202="",$Q202&lt;&gt;"",$R202="runner_monotonic_not_scorable"),"NotScorable","Partial")))</x:f>
        <x:v>Pending</x:v>
      </x:c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50"/>
      <x:c r="O203" s="44"/>
      <x:c r="P203" s="53"/>
      <x:c r="Q203" s="53"/>
      <x:c r="R203" s="44"/>
      <x:c r="S203" s="47" t="str">
        <x:f>IF(COUNTA($H203:$R203)=0,"Pending",IF(AND($A203&lt;&gt;"",$B203&lt;&gt;"",$C203&lt;&gt;"",$D203&lt;&gt;"",$E203&lt;&gt;"",$F203&lt;&gt;"",ISNUMBER($G203),$G203&gt;=1,ISNUMBER($H203),MOD($H203,1)=0,$H203&gt;=1,$H203&lt;=5,ISNUMBER($J203),MOD($J203,1)=0,$J203&gt;=1,$J203&lt;=5,ISNUMBER($L203),MOD($L203,1)=0,$L203&gt;=1,$L203&lt;=5,ISNUMBER($N203),$N203&gt;=0,$O203="",$P203&lt;&gt;"",$Q203&lt;&gt;"",$R203="runner_monotonic_complete"),"ScorableComplete",IF(AND($A203&lt;&gt;"",$B203&lt;&gt;"",$C203&lt;&gt;"",$D203&lt;&gt;"",$E203&lt;&gt;"",$F203&lt;&gt;"",ISNUMBER($G203),$G203&gt;=1,OR($O203="insufficient_source_evidence",$O203="operational_failure"),$H203="",$J203="",$L203="",$N203="",$Q203&lt;&gt;"",$R203="runner_monotonic_not_scorable"),"NotScorable","Partial")))</x:f>
        <x:v>Pending</x:v>
      </x:c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50"/>
      <x:c r="O204" s="44"/>
      <x:c r="P204" s="53"/>
      <x:c r="Q204" s="53"/>
      <x:c r="R204" s="44"/>
      <x:c r="S204" s="47" t="str">
        <x:f>IF(COUNTA($H204:$R204)=0,"Pending",IF(AND($A204&lt;&gt;"",$B204&lt;&gt;"",$C204&lt;&gt;"",$D204&lt;&gt;"",$E204&lt;&gt;"",$F204&lt;&gt;"",ISNUMBER($G204),$G204&gt;=1,ISNUMBER($H204),MOD($H204,1)=0,$H204&gt;=1,$H204&lt;=5,ISNUMBER($J204),MOD($J204,1)=0,$J204&gt;=1,$J204&lt;=5,ISNUMBER($L204),MOD($L204,1)=0,$L204&gt;=1,$L204&lt;=5,ISNUMBER($N204),$N204&gt;=0,$O204="",$P204&lt;&gt;"",$Q204&lt;&gt;"",$R204="runner_monotonic_complete"),"ScorableComplete",IF(AND($A204&lt;&gt;"",$B204&lt;&gt;"",$C204&lt;&gt;"",$D204&lt;&gt;"",$E204&lt;&gt;"",$F204&lt;&gt;"",ISNUMBER($G204),$G204&gt;=1,OR($O204="insufficient_source_evidence",$O204="operational_failure"),$H204="",$J204="",$L204="",$N204="",$Q204&lt;&gt;"",$R204="runner_monotonic_not_scorable"),"NotScorable","Partial")))</x:f>
        <x:v>Pending</x:v>
      </x:c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50"/>
      <x:c r="O205" s="44"/>
      <x:c r="P205" s="53"/>
      <x:c r="Q205" s="53"/>
      <x:c r="R205" s="44"/>
      <x:c r="S205" s="47" t="str">
        <x:f>IF(COUNTA($H205:$R205)=0,"Pending",IF(AND($A205&lt;&gt;"",$B205&lt;&gt;"",$C205&lt;&gt;"",$D205&lt;&gt;"",$E205&lt;&gt;"",$F205&lt;&gt;"",ISNUMBER($G205),$G205&gt;=1,ISNUMBER($H205),MOD($H205,1)=0,$H205&gt;=1,$H205&lt;=5,ISNUMBER($J205),MOD($J205,1)=0,$J205&gt;=1,$J205&lt;=5,ISNUMBER($L205),MOD($L205,1)=0,$L205&gt;=1,$L205&lt;=5,ISNUMBER($N205),$N205&gt;=0,$O205="",$P205&lt;&gt;"",$Q205&lt;&gt;"",$R205="runner_monotonic_complete"),"ScorableComplete",IF(AND($A205&lt;&gt;"",$B205&lt;&gt;"",$C205&lt;&gt;"",$D205&lt;&gt;"",$E205&lt;&gt;"",$F205&lt;&gt;"",ISNUMBER($G205),$G205&gt;=1,OR($O205="insufficient_source_evidence",$O205="operational_failure"),$H205="",$J205="",$L205="",$N205="",$Q205&lt;&gt;"",$R205="runner_monotonic_not_scorable"),"NotScorable","Partial")))</x:f>
        <x:v>Pending</x:v>
      </x:c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50"/>
      <x:c r="O206" s="44"/>
      <x:c r="P206" s="53"/>
      <x:c r="Q206" s="53"/>
      <x:c r="R206" s="44"/>
      <x:c r="S206" s="47" t="str">
        <x:f>IF(COUNTA($H206:$R206)=0,"Pending",IF(AND($A206&lt;&gt;"",$B206&lt;&gt;"",$C206&lt;&gt;"",$D206&lt;&gt;"",$E206&lt;&gt;"",$F206&lt;&gt;"",ISNUMBER($G206),$G206&gt;=1,ISNUMBER($H206),MOD($H206,1)=0,$H206&gt;=1,$H206&lt;=5,ISNUMBER($J206),MOD($J206,1)=0,$J206&gt;=1,$J206&lt;=5,ISNUMBER($L206),MOD($L206,1)=0,$L206&gt;=1,$L206&lt;=5,ISNUMBER($N206),$N206&gt;=0,$O206="",$P206&lt;&gt;"",$Q206&lt;&gt;"",$R206="runner_monotonic_complete"),"ScorableComplete",IF(AND($A206&lt;&gt;"",$B206&lt;&gt;"",$C206&lt;&gt;"",$D206&lt;&gt;"",$E206&lt;&gt;"",$F206&lt;&gt;"",ISNUMBER($G206),$G206&gt;=1,OR($O206="insufficient_source_evidence",$O206="operational_failure"),$H206="",$J206="",$L206="",$N206="",$Q206&lt;&gt;"",$R206="runner_monotonic_not_scorable"),"NotScorable","Partial")))</x:f>
        <x:v>Pending</x:v>
      </x:c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50"/>
      <x:c r="O207" s="44"/>
      <x:c r="P207" s="53"/>
      <x:c r="Q207" s="53"/>
      <x:c r="R207" s="44"/>
      <x:c r="S207" s="47" t="str">
        <x:f>IF(COUNTA($H207:$R207)=0,"Pending",IF(AND($A207&lt;&gt;"",$B207&lt;&gt;"",$C207&lt;&gt;"",$D207&lt;&gt;"",$E207&lt;&gt;"",$F207&lt;&gt;"",ISNUMBER($G207),$G207&gt;=1,ISNUMBER($H207),MOD($H207,1)=0,$H207&gt;=1,$H207&lt;=5,ISNUMBER($J207),MOD($J207,1)=0,$J207&gt;=1,$J207&lt;=5,ISNUMBER($L207),MOD($L207,1)=0,$L207&gt;=1,$L207&lt;=5,ISNUMBER($N207),$N207&gt;=0,$O207="",$P207&lt;&gt;"",$Q207&lt;&gt;"",$R207="runner_monotonic_complete"),"ScorableComplete",IF(AND($A207&lt;&gt;"",$B207&lt;&gt;"",$C207&lt;&gt;"",$D207&lt;&gt;"",$E207&lt;&gt;"",$F207&lt;&gt;"",ISNUMBER($G207),$G207&gt;=1,OR($O207="insufficient_source_evidence",$O207="operational_failure"),$H207="",$J207="",$L207="",$N207="",$Q207&lt;&gt;"",$R207="runner_monotonic_not_scorable"),"NotScorable","Partial")))</x:f>
        <x:v>Pending</x:v>
      </x:c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50"/>
      <x:c r="O208" s="44"/>
      <x:c r="P208" s="53"/>
      <x:c r="Q208" s="53"/>
      <x:c r="R208" s="44"/>
      <x:c r="S208" s="47" t="str">
        <x:f>IF(COUNTA($H208:$R208)=0,"Pending",IF(AND($A208&lt;&gt;"",$B208&lt;&gt;"",$C208&lt;&gt;"",$D208&lt;&gt;"",$E208&lt;&gt;"",$F208&lt;&gt;"",ISNUMBER($G208),$G208&gt;=1,ISNUMBER($H208),MOD($H208,1)=0,$H208&gt;=1,$H208&lt;=5,ISNUMBER($J208),MOD($J208,1)=0,$J208&gt;=1,$J208&lt;=5,ISNUMBER($L208),MOD($L208,1)=0,$L208&gt;=1,$L208&lt;=5,ISNUMBER($N208),$N208&gt;=0,$O208="",$P208&lt;&gt;"",$Q208&lt;&gt;"",$R208="runner_monotonic_complete"),"ScorableComplete",IF(AND($A208&lt;&gt;"",$B208&lt;&gt;"",$C208&lt;&gt;"",$D208&lt;&gt;"",$E208&lt;&gt;"",$F208&lt;&gt;"",ISNUMBER($G208),$G208&gt;=1,OR($O208="insufficient_source_evidence",$O208="operational_failure"),$H208="",$J208="",$L208="",$N208="",$Q208&lt;&gt;"",$R208="runner_monotonic_not_scorable"),"NotScorable","Partial")))</x:f>
        <x:v>Pending</x:v>
      </x:c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50"/>
      <x:c r="O209" s="44"/>
      <x:c r="P209" s="53"/>
      <x:c r="Q209" s="53"/>
      <x:c r="R209" s="44"/>
      <x:c r="S209" s="47" t="str">
        <x:f>IF(COUNTA($H209:$R209)=0,"Pending",IF(AND($A209&lt;&gt;"",$B209&lt;&gt;"",$C209&lt;&gt;"",$D209&lt;&gt;"",$E209&lt;&gt;"",$F209&lt;&gt;"",ISNUMBER($G209),$G209&gt;=1,ISNUMBER($H209),MOD($H209,1)=0,$H209&gt;=1,$H209&lt;=5,ISNUMBER($J209),MOD($J209,1)=0,$J209&gt;=1,$J209&lt;=5,ISNUMBER($L209),MOD($L209,1)=0,$L209&gt;=1,$L209&lt;=5,ISNUMBER($N209),$N209&gt;=0,$O209="",$P209&lt;&gt;"",$Q209&lt;&gt;"",$R209="runner_monotonic_complete"),"ScorableComplete",IF(AND($A209&lt;&gt;"",$B209&lt;&gt;"",$C209&lt;&gt;"",$D209&lt;&gt;"",$E209&lt;&gt;"",$F209&lt;&gt;"",ISNUMBER($G209),$G209&gt;=1,OR($O209="insufficient_source_evidence",$O209="operational_failure"),$H209="",$J209="",$L209="",$N209="",$Q209&lt;&gt;"",$R209="runner_monotonic_not_scorable"),"NotScorable","Partial")))</x:f>
        <x:v>Pending</x:v>
      </x:c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50"/>
      <x:c r="O210" s="44"/>
      <x:c r="P210" s="53"/>
      <x:c r="Q210" s="53"/>
      <x:c r="R210" s="44"/>
      <x:c r="S210" s="47" t="str">
        <x:f>IF(COUNTA($H210:$R210)=0,"Pending",IF(AND($A210&lt;&gt;"",$B210&lt;&gt;"",$C210&lt;&gt;"",$D210&lt;&gt;"",$E210&lt;&gt;"",$F210&lt;&gt;"",ISNUMBER($G210),$G210&gt;=1,ISNUMBER($H210),MOD($H210,1)=0,$H210&gt;=1,$H210&lt;=5,ISNUMBER($J210),MOD($J210,1)=0,$J210&gt;=1,$J210&lt;=5,ISNUMBER($L210),MOD($L210,1)=0,$L210&gt;=1,$L210&lt;=5,ISNUMBER($N210),$N210&gt;=0,$O210="",$P210&lt;&gt;"",$Q210&lt;&gt;"",$R210="runner_monotonic_complete"),"ScorableComplete",IF(AND($A210&lt;&gt;"",$B210&lt;&gt;"",$C210&lt;&gt;"",$D210&lt;&gt;"",$E210&lt;&gt;"",$F210&lt;&gt;"",ISNUMBER($G210),$G210&gt;=1,OR($O210="insufficient_source_evidence",$O210="operational_failure"),$H210="",$J210="",$L210="",$N210="",$Q210&lt;&gt;"",$R210="runner_monotonic_not_scorable"),"NotScorable","Partial")))</x:f>
        <x:v>Pending</x:v>
      </x:c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50"/>
      <x:c r="O211" s="44"/>
      <x:c r="P211" s="53"/>
      <x:c r="Q211" s="53"/>
      <x:c r="R211" s="44"/>
      <x:c r="S211" s="47" t="str">
        <x:f>IF(COUNTA($H211:$R211)=0,"Pending",IF(AND($A211&lt;&gt;"",$B211&lt;&gt;"",$C211&lt;&gt;"",$D211&lt;&gt;"",$E211&lt;&gt;"",$F211&lt;&gt;"",ISNUMBER($G211),$G211&gt;=1,ISNUMBER($H211),MOD($H211,1)=0,$H211&gt;=1,$H211&lt;=5,ISNUMBER($J211),MOD($J211,1)=0,$J211&gt;=1,$J211&lt;=5,ISNUMBER($L211),MOD($L211,1)=0,$L211&gt;=1,$L211&lt;=5,ISNUMBER($N211),$N211&gt;=0,$O211="",$P211&lt;&gt;"",$Q211&lt;&gt;"",$R211="runner_monotonic_complete"),"ScorableComplete",IF(AND($A211&lt;&gt;"",$B211&lt;&gt;"",$C211&lt;&gt;"",$D211&lt;&gt;"",$E211&lt;&gt;"",$F211&lt;&gt;"",ISNUMBER($G211),$G211&gt;=1,OR($O211="insufficient_source_evidence",$O211="operational_failure"),$H211="",$J211="",$L211="",$N211="",$Q211&lt;&gt;"",$R211="runner_monotonic_not_scorable"),"NotScorable","Partial")))</x:f>
        <x:v>Pending</x:v>
      </x:c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50"/>
      <x:c r="O212" s="44"/>
      <x:c r="P212" s="53"/>
      <x:c r="Q212" s="53"/>
      <x:c r="R212" s="44"/>
      <x:c r="S212" s="47" t="str">
        <x:f>IF(COUNTA($H212:$R212)=0,"Pending",IF(AND($A212&lt;&gt;"",$B212&lt;&gt;"",$C212&lt;&gt;"",$D212&lt;&gt;"",$E212&lt;&gt;"",$F212&lt;&gt;"",ISNUMBER($G212),$G212&gt;=1,ISNUMBER($H212),MOD($H212,1)=0,$H212&gt;=1,$H212&lt;=5,ISNUMBER($J212),MOD($J212,1)=0,$J212&gt;=1,$J212&lt;=5,ISNUMBER($L212),MOD($L212,1)=0,$L212&gt;=1,$L212&lt;=5,ISNUMBER($N212),$N212&gt;=0,$O212="",$P212&lt;&gt;"",$Q212&lt;&gt;"",$R212="runner_monotonic_complete"),"ScorableComplete",IF(AND($A212&lt;&gt;"",$B212&lt;&gt;"",$C212&lt;&gt;"",$D212&lt;&gt;"",$E212&lt;&gt;"",$F212&lt;&gt;"",ISNUMBER($G212),$G212&gt;=1,OR($O212="insufficient_source_evidence",$O212="operational_failure"),$H212="",$J212="",$L212="",$N212="",$Q212&lt;&gt;"",$R212="runner_monotonic_not_scorable"),"NotScorable","Partial")))</x:f>
        <x:v>Pending</x:v>
      </x:c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50"/>
      <x:c r="O213" s="44"/>
      <x:c r="P213" s="53"/>
      <x:c r="Q213" s="53"/>
      <x:c r="R213" s="44"/>
      <x:c r="S213" s="47" t="str">
        <x:f>IF(COUNTA($H213:$R213)=0,"Pending",IF(AND($A213&lt;&gt;"",$B213&lt;&gt;"",$C213&lt;&gt;"",$D213&lt;&gt;"",$E213&lt;&gt;"",$F213&lt;&gt;"",ISNUMBER($G213),$G213&gt;=1,ISNUMBER($H213),MOD($H213,1)=0,$H213&gt;=1,$H213&lt;=5,ISNUMBER($J213),MOD($J213,1)=0,$J213&gt;=1,$J213&lt;=5,ISNUMBER($L213),MOD($L213,1)=0,$L213&gt;=1,$L213&lt;=5,ISNUMBER($N213),$N213&gt;=0,$O213="",$P213&lt;&gt;"",$Q213&lt;&gt;"",$R213="runner_monotonic_complete"),"ScorableComplete",IF(AND($A213&lt;&gt;"",$B213&lt;&gt;"",$C213&lt;&gt;"",$D213&lt;&gt;"",$E213&lt;&gt;"",$F213&lt;&gt;"",ISNUMBER($G213),$G213&gt;=1,OR($O213="insufficient_source_evidence",$O213="operational_failure"),$H213="",$J213="",$L213="",$N213="",$Q213&lt;&gt;"",$R213="runner_monotonic_not_scorable"),"NotScorable","Partial")))</x:f>
        <x:v>Pending</x:v>
      </x:c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50"/>
      <x:c r="O214" s="44"/>
      <x:c r="P214" s="53"/>
      <x:c r="Q214" s="53"/>
      <x:c r="R214" s="44"/>
      <x:c r="S214" s="47" t="str">
        <x:f>IF(COUNTA($H214:$R214)=0,"Pending",IF(AND($A214&lt;&gt;"",$B214&lt;&gt;"",$C214&lt;&gt;"",$D214&lt;&gt;"",$E214&lt;&gt;"",$F214&lt;&gt;"",ISNUMBER($G214),$G214&gt;=1,ISNUMBER($H214),MOD($H214,1)=0,$H214&gt;=1,$H214&lt;=5,ISNUMBER($J214),MOD($J214,1)=0,$J214&gt;=1,$J214&lt;=5,ISNUMBER($L214),MOD($L214,1)=0,$L214&gt;=1,$L214&lt;=5,ISNUMBER($N214),$N214&gt;=0,$O214="",$P214&lt;&gt;"",$Q214&lt;&gt;"",$R214="runner_monotonic_complete"),"ScorableComplete",IF(AND($A214&lt;&gt;"",$B214&lt;&gt;"",$C214&lt;&gt;"",$D214&lt;&gt;"",$E214&lt;&gt;"",$F214&lt;&gt;"",ISNUMBER($G214),$G214&gt;=1,OR($O214="insufficient_source_evidence",$O214="operational_failure"),$H214="",$J214="",$L214="",$N214="",$Q214&lt;&gt;"",$R214="runner_monotonic_not_scorable"),"NotScorable","Partial")))</x:f>
        <x:v>Pending</x:v>
      </x:c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50"/>
      <x:c r="O215" s="44"/>
      <x:c r="P215" s="53"/>
      <x:c r="Q215" s="53"/>
      <x:c r="R215" s="44"/>
      <x:c r="S215" s="47" t="str">
        <x:f>IF(COUNTA($H215:$R215)=0,"Pending",IF(AND($A215&lt;&gt;"",$B215&lt;&gt;"",$C215&lt;&gt;"",$D215&lt;&gt;"",$E215&lt;&gt;"",$F215&lt;&gt;"",ISNUMBER($G215),$G215&gt;=1,ISNUMBER($H215),MOD($H215,1)=0,$H215&gt;=1,$H215&lt;=5,ISNUMBER($J215),MOD($J215,1)=0,$J215&gt;=1,$J215&lt;=5,ISNUMBER($L215),MOD($L215,1)=0,$L215&gt;=1,$L215&lt;=5,ISNUMBER($N215),$N215&gt;=0,$O215="",$P215&lt;&gt;"",$Q215&lt;&gt;"",$R215="runner_monotonic_complete"),"ScorableComplete",IF(AND($A215&lt;&gt;"",$B215&lt;&gt;"",$C215&lt;&gt;"",$D215&lt;&gt;"",$E215&lt;&gt;"",$F215&lt;&gt;"",ISNUMBER($G215),$G215&gt;=1,OR($O215="insufficient_source_evidence",$O215="operational_failure"),$H215="",$J215="",$L215="",$N215="",$Q215&lt;&gt;"",$R215="runner_monotonic_not_scorable"),"NotScorable","Partial")))</x:f>
        <x:v>Pending</x:v>
      </x:c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50"/>
      <x:c r="O216" s="44"/>
      <x:c r="P216" s="53"/>
      <x:c r="Q216" s="53"/>
      <x:c r="R216" s="44"/>
      <x:c r="S216" s="47" t="str">
        <x:f>IF(COUNTA($H216:$R216)=0,"Pending",IF(AND($A216&lt;&gt;"",$B216&lt;&gt;"",$C216&lt;&gt;"",$D216&lt;&gt;"",$E216&lt;&gt;"",$F216&lt;&gt;"",ISNUMBER($G216),$G216&gt;=1,ISNUMBER($H216),MOD($H216,1)=0,$H216&gt;=1,$H216&lt;=5,ISNUMBER($J216),MOD($J216,1)=0,$J216&gt;=1,$J216&lt;=5,ISNUMBER($L216),MOD($L216,1)=0,$L216&gt;=1,$L216&lt;=5,ISNUMBER($N216),$N216&gt;=0,$O216="",$P216&lt;&gt;"",$Q216&lt;&gt;"",$R216="runner_monotonic_complete"),"ScorableComplete",IF(AND($A216&lt;&gt;"",$B216&lt;&gt;"",$C216&lt;&gt;"",$D216&lt;&gt;"",$E216&lt;&gt;"",$F216&lt;&gt;"",ISNUMBER($G216),$G216&gt;=1,OR($O216="insufficient_source_evidence",$O216="operational_failure"),$H216="",$J216="",$L216="",$N216="",$Q216&lt;&gt;"",$R216="runner_monotonic_not_scorable"),"NotScorable","Partial")))</x:f>
        <x:v>Pending</x:v>
      </x:c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50"/>
      <x:c r="O217" s="44"/>
      <x:c r="P217" s="53"/>
      <x:c r="Q217" s="53"/>
      <x:c r="R217" s="44"/>
      <x:c r="S217" s="47" t="str">
        <x:f>IF(COUNTA($H217:$R217)=0,"Pending",IF(AND($A217&lt;&gt;"",$B217&lt;&gt;"",$C217&lt;&gt;"",$D217&lt;&gt;"",$E217&lt;&gt;"",$F217&lt;&gt;"",ISNUMBER($G217),$G217&gt;=1,ISNUMBER($H217),MOD($H217,1)=0,$H217&gt;=1,$H217&lt;=5,ISNUMBER($J217),MOD($J217,1)=0,$J217&gt;=1,$J217&lt;=5,ISNUMBER($L217),MOD($L217,1)=0,$L217&gt;=1,$L217&lt;=5,ISNUMBER($N217),$N217&gt;=0,$O217="",$P217&lt;&gt;"",$Q217&lt;&gt;"",$R217="runner_monotonic_complete"),"ScorableComplete",IF(AND($A217&lt;&gt;"",$B217&lt;&gt;"",$C217&lt;&gt;"",$D217&lt;&gt;"",$E217&lt;&gt;"",$F217&lt;&gt;"",ISNUMBER($G217),$G217&gt;=1,OR($O217="insufficient_source_evidence",$O217="operational_failure"),$H217="",$J217="",$L217="",$N217="",$Q217&lt;&gt;"",$R217="runner_monotonic_not_scorable"),"NotScorable","Partial")))</x:f>
        <x:v>Pending</x:v>
      </x:c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50"/>
      <x:c r="O218" s="44"/>
      <x:c r="P218" s="53"/>
      <x:c r="Q218" s="53"/>
      <x:c r="R218" s="44"/>
      <x:c r="S218" s="47" t="str">
        <x:f>IF(COUNTA($H218:$R218)=0,"Pending",IF(AND($A218&lt;&gt;"",$B218&lt;&gt;"",$C218&lt;&gt;"",$D218&lt;&gt;"",$E218&lt;&gt;"",$F218&lt;&gt;"",ISNUMBER($G218),$G218&gt;=1,ISNUMBER($H218),MOD($H218,1)=0,$H218&gt;=1,$H218&lt;=5,ISNUMBER($J218),MOD($J218,1)=0,$J218&gt;=1,$J218&lt;=5,ISNUMBER($L218),MOD($L218,1)=0,$L218&gt;=1,$L218&lt;=5,ISNUMBER($N218),$N218&gt;=0,$O218="",$P218&lt;&gt;"",$Q218&lt;&gt;"",$R218="runner_monotonic_complete"),"ScorableComplete",IF(AND($A218&lt;&gt;"",$B218&lt;&gt;"",$C218&lt;&gt;"",$D218&lt;&gt;"",$E218&lt;&gt;"",$F218&lt;&gt;"",ISNUMBER($G218),$G218&gt;=1,OR($O218="insufficient_source_evidence",$O218="operational_failure"),$H218="",$J218="",$L218="",$N218="",$Q218&lt;&gt;"",$R218="runner_monotonic_not_scorable"),"NotScorable","Partial")))</x:f>
        <x:v>Pending</x:v>
      </x:c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50"/>
      <x:c r="O219" s="44"/>
      <x:c r="P219" s="53"/>
      <x:c r="Q219" s="53"/>
      <x:c r="R219" s="44"/>
      <x:c r="S219" s="47" t="str">
        <x:f>IF(COUNTA($H219:$R219)=0,"Pending",IF(AND($A219&lt;&gt;"",$B219&lt;&gt;"",$C219&lt;&gt;"",$D219&lt;&gt;"",$E219&lt;&gt;"",$F219&lt;&gt;"",ISNUMBER($G219),$G219&gt;=1,ISNUMBER($H219),MOD($H219,1)=0,$H219&gt;=1,$H219&lt;=5,ISNUMBER($J219),MOD($J219,1)=0,$J219&gt;=1,$J219&lt;=5,ISNUMBER($L219),MOD($L219,1)=0,$L219&gt;=1,$L219&lt;=5,ISNUMBER($N219),$N219&gt;=0,$O219="",$P219&lt;&gt;"",$Q219&lt;&gt;"",$R219="runner_monotonic_complete"),"ScorableComplete",IF(AND($A219&lt;&gt;"",$B219&lt;&gt;"",$C219&lt;&gt;"",$D219&lt;&gt;"",$E219&lt;&gt;"",$F219&lt;&gt;"",ISNUMBER($G219),$G219&gt;=1,OR($O219="insufficient_source_evidence",$O219="operational_failure"),$H219="",$J219="",$L219="",$N219="",$Q219&lt;&gt;"",$R219="runner_monotonic_not_scorable"),"NotScorable","Partial")))</x:f>
        <x:v>Pending</x:v>
      </x:c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50"/>
      <x:c r="O220" s="44"/>
      <x:c r="P220" s="53"/>
      <x:c r="Q220" s="53"/>
      <x:c r="R220" s="44"/>
      <x:c r="S220" s="47" t="str">
        <x:f>IF(COUNTA($H220:$R220)=0,"Pending",IF(AND($A220&lt;&gt;"",$B220&lt;&gt;"",$C220&lt;&gt;"",$D220&lt;&gt;"",$E220&lt;&gt;"",$F220&lt;&gt;"",ISNUMBER($G220),$G220&gt;=1,ISNUMBER($H220),MOD($H220,1)=0,$H220&gt;=1,$H220&lt;=5,ISNUMBER($J220),MOD($J220,1)=0,$J220&gt;=1,$J220&lt;=5,ISNUMBER($L220),MOD($L220,1)=0,$L220&gt;=1,$L220&lt;=5,ISNUMBER($N220),$N220&gt;=0,$O220="",$P220&lt;&gt;"",$Q220&lt;&gt;"",$R220="runner_monotonic_complete"),"ScorableComplete",IF(AND($A220&lt;&gt;"",$B220&lt;&gt;"",$C220&lt;&gt;"",$D220&lt;&gt;"",$E220&lt;&gt;"",$F220&lt;&gt;"",ISNUMBER($G220),$G220&gt;=1,OR($O220="insufficient_source_evidence",$O220="operational_failure"),$H220="",$J220="",$L220="",$N220="",$Q220&lt;&gt;"",$R220="runner_monotonic_not_scorable"),"NotScorable","Partial")))</x:f>
        <x:v>Pending</x:v>
      </x:c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50"/>
      <x:c r="O221" s="44"/>
      <x:c r="P221" s="53"/>
      <x:c r="Q221" s="53"/>
      <x:c r="R221" s="44"/>
      <x:c r="S221" s="47" t="str">
        <x:f>IF(COUNTA($H221:$R221)=0,"Pending",IF(AND($A221&lt;&gt;"",$B221&lt;&gt;"",$C221&lt;&gt;"",$D221&lt;&gt;"",$E221&lt;&gt;"",$F221&lt;&gt;"",ISNUMBER($G221),$G221&gt;=1,ISNUMBER($H221),MOD($H221,1)=0,$H221&gt;=1,$H221&lt;=5,ISNUMBER($J221),MOD($J221,1)=0,$J221&gt;=1,$J221&lt;=5,ISNUMBER($L221),MOD($L221,1)=0,$L221&gt;=1,$L221&lt;=5,ISNUMBER($N221),$N221&gt;=0,$O221="",$P221&lt;&gt;"",$Q221&lt;&gt;"",$R221="runner_monotonic_complete"),"ScorableComplete",IF(AND($A221&lt;&gt;"",$B221&lt;&gt;"",$C221&lt;&gt;"",$D221&lt;&gt;"",$E221&lt;&gt;"",$F221&lt;&gt;"",ISNUMBER($G221),$G221&gt;=1,OR($O221="insufficient_source_evidence",$O221="operational_failure"),$H221="",$J221="",$L221="",$N221="",$Q221&lt;&gt;"",$R221="runner_monotonic_not_scorable"),"NotScorable","Partial")))</x:f>
        <x:v>Pending</x:v>
      </x:c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50"/>
      <x:c r="O222" s="44"/>
      <x:c r="P222" s="53"/>
      <x:c r="Q222" s="53"/>
      <x:c r="R222" s="44"/>
      <x:c r="S222" s="47" t="str">
        <x:f>IF(COUNTA($H222:$R222)=0,"Pending",IF(AND($A222&lt;&gt;"",$B222&lt;&gt;"",$C222&lt;&gt;"",$D222&lt;&gt;"",$E222&lt;&gt;"",$F222&lt;&gt;"",ISNUMBER($G222),$G222&gt;=1,ISNUMBER($H222),MOD($H222,1)=0,$H222&gt;=1,$H222&lt;=5,ISNUMBER($J222),MOD($J222,1)=0,$J222&gt;=1,$J222&lt;=5,ISNUMBER($L222),MOD($L222,1)=0,$L222&gt;=1,$L222&lt;=5,ISNUMBER($N222),$N222&gt;=0,$O222="",$P222&lt;&gt;"",$Q222&lt;&gt;"",$R222="runner_monotonic_complete"),"ScorableComplete",IF(AND($A222&lt;&gt;"",$B222&lt;&gt;"",$C222&lt;&gt;"",$D222&lt;&gt;"",$E222&lt;&gt;"",$F222&lt;&gt;"",ISNUMBER($G222),$G222&gt;=1,OR($O222="insufficient_source_evidence",$O222="operational_failure"),$H222="",$J222="",$L222="",$N222="",$Q222&lt;&gt;"",$R222="runner_monotonic_not_scorable"),"NotScorable","Partial")))</x:f>
        <x:v>Pending</x:v>
      </x:c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50"/>
      <x:c r="O223" s="44"/>
      <x:c r="P223" s="53"/>
      <x:c r="Q223" s="53"/>
      <x:c r="R223" s="44"/>
      <x:c r="S223" s="47" t="str">
        <x:f>IF(COUNTA($H223:$R223)=0,"Pending",IF(AND($A223&lt;&gt;"",$B223&lt;&gt;"",$C223&lt;&gt;"",$D223&lt;&gt;"",$E223&lt;&gt;"",$F223&lt;&gt;"",ISNUMBER($G223),$G223&gt;=1,ISNUMBER($H223),MOD($H223,1)=0,$H223&gt;=1,$H223&lt;=5,ISNUMBER($J223),MOD($J223,1)=0,$J223&gt;=1,$J223&lt;=5,ISNUMBER($L223),MOD($L223,1)=0,$L223&gt;=1,$L223&lt;=5,ISNUMBER($N223),$N223&gt;=0,$O223="",$P223&lt;&gt;"",$Q223&lt;&gt;"",$R223="runner_monotonic_complete"),"ScorableComplete",IF(AND($A223&lt;&gt;"",$B223&lt;&gt;"",$C223&lt;&gt;"",$D223&lt;&gt;"",$E223&lt;&gt;"",$F223&lt;&gt;"",ISNUMBER($G223),$G223&gt;=1,OR($O223="insufficient_source_evidence",$O223="operational_failure"),$H223="",$J223="",$L223="",$N223="",$Q223&lt;&gt;"",$R223="runner_monotonic_not_scorable"),"NotScorable","Partial")))</x:f>
        <x:v>Pending</x:v>
      </x:c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50"/>
      <x:c r="O224" s="44"/>
      <x:c r="P224" s="53"/>
      <x:c r="Q224" s="53"/>
      <x:c r="R224" s="44"/>
      <x:c r="S224" s="47" t="str">
        <x:f>IF(COUNTA($H224:$R224)=0,"Pending",IF(AND($A224&lt;&gt;"",$B224&lt;&gt;"",$C224&lt;&gt;"",$D224&lt;&gt;"",$E224&lt;&gt;"",$F224&lt;&gt;"",ISNUMBER($G224),$G224&gt;=1,ISNUMBER($H224),MOD($H224,1)=0,$H224&gt;=1,$H224&lt;=5,ISNUMBER($J224),MOD($J224,1)=0,$J224&gt;=1,$J224&lt;=5,ISNUMBER($L224),MOD($L224,1)=0,$L224&gt;=1,$L224&lt;=5,ISNUMBER($N224),$N224&gt;=0,$O224="",$P224&lt;&gt;"",$Q224&lt;&gt;"",$R224="runner_monotonic_complete"),"ScorableComplete",IF(AND($A224&lt;&gt;"",$B224&lt;&gt;"",$C224&lt;&gt;"",$D224&lt;&gt;"",$E224&lt;&gt;"",$F224&lt;&gt;"",ISNUMBER($G224),$G224&gt;=1,OR($O224="insufficient_source_evidence",$O224="operational_failure"),$H224="",$J224="",$L224="",$N224="",$Q224&lt;&gt;"",$R224="runner_monotonic_not_scorable"),"NotScorable","Partial")))</x:f>
        <x:v>Pending</x:v>
      </x:c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50"/>
      <x:c r="O225" s="44"/>
      <x:c r="P225" s="53"/>
      <x:c r="Q225" s="53"/>
      <x:c r="R225" s="44"/>
      <x:c r="S225" s="47" t="str">
        <x:f>IF(COUNTA($H225:$R225)=0,"Pending",IF(AND($A225&lt;&gt;"",$B225&lt;&gt;"",$C225&lt;&gt;"",$D225&lt;&gt;"",$E225&lt;&gt;"",$F225&lt;&gt;"",ISNUMBER($G225),$G225&gt;=1,ISNUMBER($H225),MOD($H225,1)=0,$H225&gt;=1,$H225&lt;=5,ISNUMBER($J225),MOD($J225,1)=0,$J225&gt;=1,$J225&lt;=5,ISNUMBER($L225),MOD($L225,1)=0,$L225&gt;=1,$L225&lt;=5,ISNUMBER($N225),$N225&gt;=0,$O225="",$P225&lt;&gt;"",$Q225&lt;&gt;"",$R225="runner_monotonic_complete"),"ScorableComplete",IF(AND($A225&lt;&gt;"",$B225&lt;&gt;"",$C225&lt;&gt;"",$D225&lt;&gt;"",$E225&lt;&gt;"",$F225&lt;&gt;"",ISNUMBER($G225),$G225&gt;=1,OR($O225="insufficient_source_evidence",$O225="operational_failure"),$H225="",$J225="",$L225="",$N225="",$Q225&lt;&gt;"",$R225="runner_monotonic_not_scorable"),"NotScorable","Partial")))</x:f>
        <x:v>Pending</x:v>
      </x:c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50"/>
      <x:c r="O226" s="44"/>
      <x:c r="P226" s="53"/>
      <x:c r="Q226" s="53"/>
      <x:c r="R226" s="44"/>
      <x:c r="S226" s="47" t="str">
        <x:f>IF(COUNTA($H226:$R226)=0,"Pending",IF(AND($A226&lt;&gt;"",$B226&lt;&gt;"",$C226&lt;&gt;"",$D226&lt;&gt;"",$E226&lt;&gt;"",$F226&lt;&gt;"",ISNUMBER($G226),$G226&gt;=1,ISNUMBER($H226),MOD($H226,1)=0,$H226&gt;=1,$H226&lt;=5,ISNUMBER($J226),MOD($J226,1)=0,$J226&gt;=1,$J226&lt;=5,ISNUMBER($L226),MOD($L226,1)=0,$L226&gt;=1,$L226&lt;=5,ISNUMBER($N226),$N226&gt;=0,$O226="",$P226&lt;&gt;"",$Q226&lt;&gt;"",$R226="runner_monotonic_complete"),"ScorableComplete",IF(AND($A226&lt;&gt;"",$B226&lt;&gt;"",$C226&lt;&gt;"",$D226&lt;&gt;"",$E226&lt;&gt;"",$F226&lt;&gt;"",ISNUMBER($G226),$G226&gt;=1,OR($O226="insufficient_source_evidence",$O226="operational_failure"),$H226="",$J226="",$L226="",$N226="",$Q226&lt;&gt;"",$R226="runner_monotonic_not_scorable"),"NotScorable","Partial")))</x:f>
        <x:v>Pending</x:v>
      </x:c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50"/>
      <x:c r="O227" s="44"/>
      <x:c r="P227" s="53"/>
      <x:c r="Q227" s="53"/>
      <x:c r="R227" s="44"/>
      <x:c r="S227" s="47" t="str">
        <x:f>IF(COUNTA($H227:$R227)=0,"Pending",IF(AND($A227&lt;&gt;"",$B227&lt;&gt;"",$C227&lt;&gt;"",$D227&lt;&gt;"",$E227&lt;&gt;"",$F227&lt;&gt;"",ISNUMBER($G227),$G227&gt;=1,ISNUMBER($H227),MOD($H227,1)=0,$H227&gt;=1,$H227&lt;=5,ISNUMBER($J227),MOD($J227,1)=0,$J227&gt;=1,$J227&lt;=5,ISNUMBER($L227),MOD($L227,1)=0,$L227&gt;=1,$L227&lt;=5,ISNUMBER($N227),$N227&gt;=0,$O227="",$P227&lt;&gt;"",$Q227&lt;&gt;"",$R227="runner_monotonic_complete"),"ScorableComplete",IF(AND($A227&lt;&gt;"",$B227&lt;&gt;"",$C227&lt;&gt;"",$D227&lt;&gt;"",$E227&lt;&gt;"",$F227&lt;&gt;"",ISNUMBER($G227),$G227&gt;=1,OR($O227="insufficient_source_evidence",$O227="operational_failure"),$H227="",$J227="",$L227="",$N227="",$Q227&lt;&gt;"",$R227="runner_monotonic_not_scorable"),"NotScorable","Partial")))</x:f>
        <x:v>Pending</x:v>
      </x:c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50"/>
      <x:c r="O228" s="44"/>
      <x:c r="P228" s="53"/>
      <x:c r="Q228" s="53"/>
      <x:c r="R228" s="44"/>
      <x:c r="S228" s="47" t="str">
        <x:f>IF(COUNTA($H228:$R228)=0,"Pending",IF(AND($A228&lt;&gt;"",$B228&lt;&gt;"",$C228&lt;&gt;"",$D228&lt;&gt;"",$E228&lt;&gt;"",$F228&lt;&gt;"",ISNUMBER($G228),$G228&gt;=1,ISNUMBER($H228),MOD($H228,1)=0,$H228&gt;=1,$H228&lt;=5,ISNUMBER($J228),MOD($J228,1)=0,$J228&gt;=1,$J228&lt;=5,ISNUMBER($L228),MOD($L228,1)=0,$L228&gt;=1,$L228&lt;=5,ISNUMBER($N228),$N228&gt;=0,$O228="",$P228&lt;&gt;"",$Q228&lt;&gt;"",$R228="runner_monotonic_complete"),"ScorableComplete",IF(AND($A228&lt;&gt;"",$B228&lt;&gt;"",$C228&lt;&gt;"",$D228&lt;&gt;"",$E228&lt;&gt;"",$F228&lt;&gt;"",ISNUMBER($G228),$G228&gt;=1,OR($O228="insufficient_source_evidence",$O228="operational_failure"),$H228="",$J228="",$L228="",$N228="",$Q228&lt;&gt;"",$R228="runner_monotonic_not_scorable"),"NotScorable","Partial")))</x:f>
        <x:v>Pending</x:v>
      </x:c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50"/>
      <x:c r="O229" s="44"/>
      <x:c r="P229" s="53"/>
      <x:c r="Q229" s="53"/>
      <x:c r="R229" s="44"/>
      <x:c r="S229" s="47" t="str">
        <x:f>IF(COUNTA($H229:$R229)=0,"Pending",IF(AND($A229&lt;&gt;"",$B229&lt;&gt;"",$C229&lt;&gt;"",$D229&lt;&gt;"",$E229&lt;&gt;"",$F229&lt;&gt;"",ISNUMBER($G229),$G229&gt;=1,ISNUMBER($H229),MOD($H229,1)=0,$H229&gt;=1,$H229&lt;=5,ISNUMBER($J229),MOD($J229,1)=0,$J229&gt;=1,$J229&lt;=5,ISNUMBER($L229),MOD($L229,1)=0,$L229&gt;=1,$L229&lt;=5,ISNUMBER($N229),$N229&gt;=0,$O229="",$P229&lt;&gt;"",$Q229&lt;&gt;"",$R229="runner_monotonic_complete"),"ScorableComplete",IF(AND($A229&lt;&gt;"",$B229&lt;&gt;"",$C229&lt;&gt;"",$D229&lt;&gt;"",$E229&lt;&gt;"",$F229&lt;&gt;"",ISNUMBER($G229),$G229&gt;=1,OR($O229="insufficient_source_evidence",$O229="operational_failure"),$H229="",$J229="",$L229="",$N229="",$Q229&lt;&gt;"",$R229="runner_monotonic_not_scorable"),"NotScorable","Partial")))</x:f>
        <x:v>Pending</x:v>
      </x:c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50"/>
      <x:c r="O230" s="44"/>
      <x:c r="P230" s="53"/>
      <x:c r="Q230" s="53"/>
      <x:c r="R230" s="44"/>
      <x:c r="S230" s="47" t="str">
        <x:f>IF(COUNTA($H230:$R230)=0,"Pending",IF(AND($A230&lt;&gt;"",$B230&lt;&gt;"",$C230&lt;&gt;"",$D230&lt;&gt;"",$E230&lt;&gt;"",$F230&lt;&gt;"",ISNUMBER($G230),$G230&gt;=1,ISNUMBER($H230),MOD($H230,1)=0,$H230&gt;=1,$H230&lt;=5,ISNUMBER($J230),MOD($J230,1)=0,$J230&gt;=1,$J230&lt;=5,ISNUMBER($L230),MOD($L230,1)=0,$L230&gt;=1,$L230&lt;=5,ISNUMBER($N230),$N230&gt;=0,$O230="",$P230&lt;&gt;"",$Q230&lt;&gt;"",$R230="runner_monotonic_complete"),"ScorableComplete",IF(AND($A230&lt;&gt;"",$B230&lt;&gt;"",$C230&lt;&gt;"",$D230&lt;&gt;"",$E230&lt;&gt;"",$F230&lt;&gt;"",ISNUMBER($G230),$G230&gt;=1,OR($O230="insufficient_source_evidence",$O230="operational_failure"),$H230="",$J230="",$L230="",$N230="",$Q230&lt;&gt;"",$R230="runner_monotonic_not_scorable"),"NotScorable","Partial")))</x:f>
        <x:v>Pending</x:v>
      </x:c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50"/>
      <x:c r="O231" s="44"/>
      <x:c r="P231" s="53"/>
      <x:c r="Q231" s="53"/>
      <x:c r="R231" s="44"/>
      <x:c r="S231" s="47" t="str">
        <x:f>IF(COUNTA($H231:$R231)=0,"Pending",IF(AND($A231&lt;&gt;"",$B231&lt;&gt;"",$C231&lt;&gt;"",$D231&lt;&gt;"",$E231&lt;&gt;"",$F231&lt;&gt;"",ISNUMBER($G231),$G231&gt;=1,ISNUMBER($H231),MOD($H231,1)=0,$H231&gt;=1,$H231&lt;=5,ISNUMBER($J231),MOD($J231,1)=0,$J231&gt;=1,$J231&lt;=5,ISNUMBER($L231),MOD($L231,1)=0,$L231&gt;=1,$L231&lt;=5,ISNUMBER($N231),$N231&gt;=0,$O231="",$P231&lt;&gt;"",$Q231&lt;&gt;"",$R231="runner_monotonic_complete"),"ScorableComplete",IF(AND($A231&lt;&gt;"",$B231&lt;&gt;"",$C231&lt;&gt;"",$D231&lt;&gt;"",$E231&lt;&gt;"",$F231&lt;&gt;"",ISNUMBER($G231),$G231&gt;=1,OR($O231="insufficient_source_evidence",$O231="operational_failure"),$H231="",$J231="",$L231="",$N231="",$Q231&lt;&gt;"",$R231="runner_monotonic_not_scorable"),"NotScorable","Partial")))</x:f>
        <x:v>Pending</x:v>
      </x:c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50"/>
      <x:c r="O232" s="44"/>
      <x:c r="P232" s="53"/>
      <x:c r="Q232" s="53"/>
      <x:c r="R232" s="44"/>
      <x:c r="S232" s="47" t="str">
        <x:f>IF(COUNTA($H232:$R232)=0,"Pending",IF(AND($A232&lt;&gt;"",$B232&lt;&gt;"",$C232&lt;&gt;"",$D232&lt;&gt;"",$E232&lt;&gt;"",$F232&lt;&gt;"",ISNUMBER($G232),$G232&gt;=1,ISNUMBER($H232),MOD($H232,1)=0,$H232&gt;=1,$H232&lt;=5,ISNUMBER($J232),MOD($J232,1)=0,$J232&gt;=1,$J232&lt;=5,ISNUMBER($L232),MOD($L232,1)=0,$L232&gt;=1,$L232&lt;=5,ISNUMBER($N232),$N232&gt;=0,$O232="",$P232&lt;&gt;"",$Q232&lt;&gt;"",$R232="runner_monotonic_complete"),"ScorableComplete",IF(AND($A232&lt;&gt;"",$B232&lt;&gt;"",$C232&lt;&gt;"",$D232&lt;&gt;"",$E232&lt;&gt;"",$F232&lt;&gt;"",ISNUMBER($G232),$G232&gt;=1,OR($O232="insufficient_source_evidence",$O232="operational_failure"),$H232="",$J232="",$L232="",$N232="",$Q232&lt;&gt;"",$R232="runner_monotonic_not_scorable"),"NotScorable","Partial")))</x:f>
        <x:v>Pending</x:v>
      </x:c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50"/>
      <x:c r="O233" s="44"/>
      <x:c r="P233" s="53"/>
      <x:c r="Q233" s="53"/>
      <x:c r="R233" s="44"/>
      <x:c r="S233" s="47" t="str">
        <x:f>IF(COUNTA($H233:$R233)=0,"Pending",IF(AND($A233&lt;&gt;"",$B233&lt;&gt;"",$C233&lt;&gt;"",$D233&lt;&gt;"",$E233&lt;&gt;"",$F233&lt;&gt;"",ISNUMBER($G233),$G233&gt;=1,ISNUMBER($H233),MOD($H233,1)=0,$H233&gt;=1,$H233&lt;=5,ISNUMBER($J233),MOD($J233,1)=0,$J233&gt;=1,$J233&lt;=5,ISNUMBER($L233),MOD($L233,1)=0,$L233&gt;=1,$L233&lt;=5,ISNUMBER($N233),$N233&gt;=0,$O233="",$P233&lt;&gt;"",$Q233&lt;&gt;"",$R233="runner_monotonic_complete"),"ScorableComplete",IF(AND($A233&lt;&gt;"",$B233&lt;&gt;"",$C233&lt;&gt;"",$D233&lt;&gt;"",$E233&lt;&gt;"",$F233&lt;&gt;"",ISNUMBER($G233),$G233&gt;=1,OR($O233="insufficient_source_evidence",$O233="operational_failure"),$H233="",$J233="",$L233="",$N233="",$Q233&lt;&gt;"",$R233="runner_monotonic_not_scorable"),"NotScorable","Partial")))</x:f>
        <x:v>Pending</x:v>
      </x:c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50"/>
      <x:c r="O234" s="44"/>
      <x:c r="P234" s="53"/>
      <x:c r="Q234" s="53"/>
      <x:c r="R234" s="44"/>
      <x:c r="S234" s="47" t="str">
        <x:f>IF(COUNTA($H234:$R234)=0,"Pending",IF(AND($A234&lt;&gt;"",$B234&lt;&gt;"",$C234&lt;&gt;"",$D234&lt;&gt;"",$E234&lt;&gt;"",$F234&lt;&gt;"",ISNUMBER($G234),$G234&gt;=1,ISNUMBER($H234),MOD($H234,1)=0,$H234&gt;=1,$H234&lt;=5,ISNUMBER($J234),MOD($J234,1)=0,$J234&gt;=1,$J234&lt;=5,ISNUMBER($L234),MOD($L234,1)=0,$L234&gt;=1,$L234&lt;=5,ISNUMBER($N234),$N234&gt;=0,$O234="",$P234&lt;&gt;"",$Q234&lt;&gt;"",$R234="runner_monotonic_complete"),"ScorableComplete",IF(AND($A234&lt;&gt;"",$B234&lt;&gt;"",$C234&lt;&gt;"",$D234&lt;&gt;"",$E234&lt;&gt;"",$F234&lt;&gt;"",ISNUMBER($G234),$G234&gt;=1,OR($O234="insufficient_source_evidence",$O234="operational_failure"),$H234="",$J234="",$L234="",$N234="",$Q234&lt;&gt;"",$R234="runner_monotonic_not_scorable"),"NotScorable","Partial")))</x:f>
        <x:v>Pending</x:v>
      </x:c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50"/>
      <x:c r="O235" s="44"/>
      <x:c r="P235" s="53"/>
      <x:c r="Q235" s="53"/>
      <x:c r="R235" s="44"/>
      <x:c r="S235" s="47" t="str">
        <x:f>IF(COUNTA($H235:$R235)=0,"Pending",IF(AND($A235&lt;&gt;"",$B235&lt;&gt;"",$C235&lt;&gt;"",$D235&lt;&gt;"",$E235&lt;&gt;"",$F235&lt;&gt;"",ISNUMBER($G235),$G235&gt;=1,ISNUMBER($H235),MOD($H235,1)=0,$H235&gt;=1,$H235&lt;=5,ISNUMBER($J235),MOD($J235,1)=0,$J235&gt;=1,$J235&lt;=5,ISNUMBER($L235),MOD($L235,1)=0,$L235&gt;=1,$L235&lt;=5,ISNUMBER($N235),$N235&gt;=0,$O235="",$P235&lt;&gt;"",$Q235&lt;&gt;"",$R235="runner_monotonic_complete"),"ScorableComplete",IF(AND($A235&lt;&gt;"",$B235&lt;&gt;"",$C235&lt;&gt;"",$D235&lt;&gt;"",$E235&lt;&gt;"",$F235&lt;&gt;"",ISNUMBER($G235),$G235&gt;=1,OR($O235="insufficient_source_evidence",$O235="operational_failure"),$H235="",$J235="",$L235="",$N235="",$Q235&lt;&gt;"",$R235="runner_monotonic_not_scorable"),"NotScorable","Partial")))</x:f>
        <x:v>Pending</x:v>
      </x:c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50"/>
      <x:c r="O236" s="44"/>
      <x:c r="P236" s="53"/>
      <x:c r="Q236" s="53"/>
      <x:c r="R236" s="44"/>
      <x:c r="S236" s="47" t="str">
        <x:f>IF(COUNTA($H236:$R236)=0,"Pending",IF(AND($A236&lt;&gt;"",$B236&lt;&gt;"",$C236&lt;&gt;"",$D236&lt;&gt;"",$E236&lt;&gt;"",$F236&lt;&gt;"",ISNUMBER($G236),$G236&gt;=1,ISNUMBER($H236),MOD($H236,1)=0,$H236&gt;=1,$H236&lt;=5,ISNUMBER($J236),MOD($J236,1)=0,$J236&gt;=1,$J236&lt;=5,ISNUMBER($L236),MOD($L236,1)=0,$L236&gt;=1,$L236&lt;=5,ISNUMBER($N236),$N236&gt;=0,$O236="",$P236&lt;&gt;"",$Q236&lt;&gt;"",$R236="runner_monotonic_complete"),"ScorableComplete",IF(AND($A236&lt;&gt;"",$B236&lt;&gt;"",$C236&lt;&gt;"",$D236&lt;&gt;"",$E236&lt;&gt;"",$F236&lt;&gt;"",ISNUMBER($G236),$G236&gt;=1,OR($O236="insufficient_source_evidence",$O236="operational_failure"),$H236="",$J236="",$L236="",$N236="",$Q236&lt;&gt;"",$R236="runner_monotonic_not_scorable"),"NotScorable","Partial")))</x:f>
        <x:v>Pending</x:v>
      </x:c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50"/>
      <x:c r="O237" s="44"/>
      <x:c r="P237" s="53"/>
      <x:c r="Q237" s="53"/>
      <x:c r="R237" s="44"/>
      <x:c r="S237" s="47" t="str">
        <x:f>IF(COUNTA($H237:$R237)=0,"Pending",IF(AND($A237&lt;&gt;"",$B237&lt;&gt;"",$C237&lt;&gt;"",$D237&lt;&gt;"",$E237&lt;&gt;"",$F237&lt;&gt;"",ISNUMBER($G237),$G237&gt;=1,ISNUMBER($H237),MOD($H237,1)=0,$H237&gt;=1,$H237&lt;=5,ISNUMBER($J237),MOD($J237,1)=0,$J237&gt;=1,$J237&lt;=5,ISNUMBER($L237),MOD($L237,1)=0,$L237&gt;=1,$L237&lt;=5,ISNUMBER($N237),$N237&gt;=0,$O237="",$P237&lt;&gt;"",$Q237&lt;&gt;"",$R237="runner_monotonic_complete"),"ScorableComplete",IF(AND($A237&lt;&gt;"",$B237&lt;&gt;"",$C237&lt;&gt;"",$D237&lt;&gt;"",$E237&lt;&gt;"",$F237&lt;&gt;"",ISNUMBER($G237),$G237&gt;=1,OR($O237="insufficient_source_evidence",$O237="operational_failure"),$H237="",$J237="",$L237="",$N237="",$Q237&lt;&gt;"",$R237="runner_monotonic_not_scorable"),"NotScorable","Partial")))</x:f>
        <x:v>Pending</x:v>
      </x:c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50"/>
      <x:c r="O238" s="44"/>
      <x:c r="P238" s="53"/>
      <x:c r="Q238" s="53"/>
      <x:c r="R238" s="44"/>
      <x:c r="S238" s="47" t="str">
        <x:f>IF(COUNTA($H238:$R238)=0,"Pending",IF(AND($A238&lt;&gt;"",$B238&lt;&gt;"",$C238&lt;&gt;"",$D238&lt;&gt;"",$E238&lt;&gt;"",$F238&lt;&gt;"",ISNUMBER($G238),$G238&gt;=1,ISNUMBER($H238),MOD($H238,1)=0,$H238&gt;=1,$H238&lt;=5,ISNUMBER($J238),MOD($J238,1)=0,$J238&gt;=1,$J238&lt;=5,ISNUMBER($L238),MOD($L238,1)=0,$L238&gt;=1,$L238&lt;=5,ISNUMBER($N238),$N238&gt;=0,$O238="",$P238&lt;&gt;"",$Q238&lt;&gt;"",$R238="runner_monotonic_complete"),"ScorableComplete",IF(AND($A238&lt;&gt;"",$B238&lt;&gt;"",$C238&lt;&gt;"",$D238&lt;&gt;"",$E238&lt;&gt;"",$F238&lt;&gt;"",ISNUMBER($G238),$G238&gt;=1,OR($O238="insufficient_source_evidence",$O238="operational_failure"),$H238="",$J238="",$L238="",$N238="",$Q238&lt;&gt;"",$R238="runner_monotonic_not_scorable"),"NotScorable","Partial")))</x:f>
        <x:v>Pending</x:v>
      </x:c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50"/>
      <x:c r="O239" s="44"/>
      <x:c r="P239" s="53"/>
      <x:c r="Q239" s="53"/>
      <x:c r="R239" s="44"/>
      <x:c r="S239" s="47" t="str">
        <x:f>IF(COUNTA($H239:$R239)=0,"Pending",IF(AND($A239&lt;&gt;"",$B239&lt;&gt;"",$C239&lt;&gt;"",$D239&lt;&gt;"",$E239&lt;&gt;"",$F239&lt;&gt;"",ISNUMBER($G239),$G239&gt;=1,ISNUMBER($H239),MOD($H239,1)=0,$H239&gt;=1,$H239&lt;=5,ISNUMBER($J239),MOD($J239,1)=0,$J239&gt;=1,$J239&lt;=5,ISNUMBER($L239),MOD($L239,1)=0,$L239&gt;=1,$L239&lt;=5,ISNUMBER($N239),$N239&gt;=0,$O239="",$P239&lt;&gt;"",$Q239&lt;&gt;"",$R239="runner_monotonic_complete"),"ScorableComplete",IF(AND($A239&lt;&gt;"",$B239&lt;&gt;"",$C239&lt;&gt;"",$D239&lt;&gt;"",$E239&lt;&gt;"",$F239&lt;&gt;"",ISNUMBER($G239),$G239&gt;=1,OR($O239="insufficient_source_evidence",$O239="operational_failure"),$H239="",$J239="",$L239="",$N239="",$Q239&lt;&gt;"",$R239="runner_monotonic_not_scorable"),"NotScorable","Partial")))</x:f>
        <x:v>Pending</x:v>
      </x:c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50"/>
      <x:c r="O240" s="44"/>
      <x:c r="P240" s="53"/>
      <x:c r="Q240" s="53"/>
      <x:c r="R240" s="44"/>
      <x:c r="S240" s="47" t="str">
        <x:f>IF(COUNTA($H240:$R240)=0,"Pending",IF(AND($A240&lt;&gt;"",$B240&lt;&gt;"",$C240&lt;&gt;"",$D240&lt;&gt;"",$E240&lt;&gt;"",$F240&lt;&gt;"",ISNUMBER($G240),$G240&gt;=1,ISNUMBER($H240),MOD($H240,1)=0,$H240&gt;=1,$H240&lt;=5,ISNUMBER($J240),MOD($J240,1)=0,$J240&gt;=1,$J240&lt;=5,ISNUMBER($L240),MOD($L240,1)=0,$L240&gt;=1,$L240&lt;=5,ISNUMBER($N240),$N240&gt;=0,$O240="",$P240&lt;&gt;"",$Q240&lt;&gt;"",$R240="runner_monotonic_complete"),"ScorableComplete",IF(AND($A240&lt;&gt;"",$B240&lt;&gt;"",$C240&lt;&gt;"",$D240&lt;&gt;"",$E240&lt;&gt;"",$F240&lt;&gt;"",ISNUMBER($G240),$G240&gt;=1,OR($O240="insufficient_source_evidence",$O240="operational_failure"),$H240="",$J240="",$L240="",$N240="",$Q240&lt;&gt;"",$R240="runner_monotonic_not_scorable"),"NotScorable","Partial")))</x:f>
        <x:v>Pending</x:v>
      </x:c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50"/>
      <x:c r="O241" s="44"/>
      <x:c r="P241" s="53"/>
      <x:c r="Q241" s="53"/>
      <x:c r="R241" s="44"/>
      <x:c r="S241" s="47" t="str">
        <x:f>IF(COUNTA($H241:$R241)=0,"Pending",IF(AND($A241&lt;&gt;"",$B241&lt;&gt;"",$C241&lt;&gt;"",$D241&lt;&gt;"",$E241&lt;&gt;"",$F241&lt;&gt;"",ISNUMBER($G241),$G241&gt;=1,ISNUMBER($H241),MOD($H241,1)=0,$H241&gt;=1,$H241&lt;=5,ISNUMBER($J241),MOD($J241,1)=0,$J241&gt;=1,$J241&lt;=5,ISNUMBER($L241),MOD($L241,1)=0,$L241&gt;=1,$L241&lt;=5,ISNUMBER($N241),$N241&gt;=0,$O241="",$P241&lt;&gt;"",$Q241&lt;&gt;"",$R241="runner_monotonic_complete"),"ScorableComplete",IF(AND($A241&lt;&gt;"",$B241&lt;&gt;"",$C241&lt;&gt;"",$D241&lt;&gt;"",$E241&lt;&gt;"",$F241&lt;&gt;"",ISNUMBER($G241),$G241&gt;=1,OR($O241="insufficient_source_evidence",$O241="operational_failure"),$H241="",$J241="",$L241="",$N241="",$Q241&lt;&gt;"",$R241="runner_monotonic_not_scorable"),"NotScorable","Partial")))</x:f>
        <x:v>Pending</x:v>
      </x:c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50"/>
      <x:c r="O242" s="44"/>
      <x:c r="P242" s="53"/>
      <x:c r="Q242" s="53"/>
      <x:c r="R242" s="44"/>
      <x:c r="S242" s="47" t="str">
        <x:f>IF(COUNTA($H242:$R242)=0,"Pending",IF(AND($A242&lt;&gt;"",$B242&lt;&gt;"",$C242&lt;&gt;"",$D242&lt;&gt;"",$E242&lt;&gt;"",$F242&lt;&gt;"",ISNUMBER($G242),$G242&gt;=1,ISNUMBER($H242),MOD($H242,1)=0,$H242&gt;=1,$H242&lt;=5,ISNUMBER($J242),MOD($J242,1)=0,$J242&gt;=1,$J242&lt;=5,ISNUMBER($L242),MOD($L242,1)=0,$L242&gt;=1,$L242&lt;=5,ISNUMBER($N242),$N242&gt;=0,$O242="",$P242&lt;&gt;"",$Q242&lt;&gt;"",$R242="runner_monotonic_complete"),"ScorableComplete",IF(AND($A242&lt;&gt;"",$B242&lt;&gt;"",$C242&lt;&gt;"",$D242&lt;&gt;"",$E242&lt;&gt;"",$F242&lt;&gt;"",ISNUMBER($G242),$G242&gt;=1,OR($O242="insufficient_source_evidence",$O242="operational_failure"),$H242="",$J242="",$L242="",$N242="",$Q242&lt;&gt;"",$R242="runner_monotonic_not_scorable"),"NotScorable","Partial")))</x:f>
        <x:v>Pending</x:v>
      </x:c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50"/>
      <x:c r="O243" s="44"/>
      <x:c r="P243" s="53"/>
      <x:c r="Q243" s="53"/>
      <x:c r="R243" s="44"/>
      <x:c r="S243" s="47" t="str">
        <x:f>IF(COUNTA($H243:$R243)=0,"Pending",IF(AND($A243&lt;&gt;"",$B243&lt;&gt;"",$C243&lt;&gt;"",$D243&lt;&gt;"",$E243&lt;&gt;"",$F243&lt;&gt;"",ISNUMBER($G243),$G243&gt;=1,ISNUMBER($H243),MOD($H243,1)=0,$H243&gt;=1,$H243&lt;=5,ISNUMBER($J243),MOD($J243,1)=0,$J243&gt;=1,$J243&lt;=5,ISNUMBER($L243),MOD($L243,1)=0,$L243&gt;=1,$L243&lt;=5,ISNUMBER($N243),$N243&gt;=0,$O243="",$P243&lt;&gt;"",$Q243&lt;&gt;"",$R243="runner_monotonic_complete"),"ScorableComplete",IF(AND($A243&lt;&gt;"",$B243&lt;&gt;"",$C243&lt;&gt;"",$D243&lt;&gt;"",$E243&lt;&gt;"",$F243&lt;&gt;"",ISNUMBER($G243),$G243&gt;=1,OR($O243="insufficient_source_evidence",$O243="operational_failure"),$H243="",$J243="",$L243="",$N243="",$Q243&lt;&gt;"",$R243="runner_monotonic_not_scorable"),"NotScorable","Partial")))</x:f>
        <x:v>Pending</x:v>
      </x:c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50"/>
      <x:c r="O244" s="44"/>
      <x:c r="P244" s="53"/>
      <x:c r="Q244" s="53"/>
      <x:c r="R244" s="44"/>
      <x:c r="S244" s="47" t="str">
        <x:f>IF(COUNTA($H244:$R244)=0,"Pending",IF(AND($A244&lt;&gt;"",$B244&lt;&gt;"",$C244&lt;&gt;"",$D244&lt;&gt;"",$E244&lt;&gt;"",$F244&lt;&gt;"",ISNUMBER($G244),$G244&gt;=1,ISNUMBER($H244),MOD($H244,1)=0,$H244&gt;=1,$H244&lt;=5,ISNUMBER($J244),MOD($J244,1)=0,$J244&gt;=1,$J244&lt;=5,ISNUMBER($L244),MOD($L244,1)=0,$L244&gt;=1,$L244&lt;=5,ISNUMBER($N244),$N244&gt;=0,$O244="",$P244&lt;&gt;"",$Q244&lt;&gt;"",$R244="runner_monotonic_complete"),"ScorableComplete",IF(AND($A244&lt;&gt;"",$B244&lt;&gt;"",$C244&lt;&gt;"",$D244&lt;&gt;"",$E244&lt;&gt;"",$F244&lt;&gt;"",ISNUMBER($G244),$G244&gt;=1,OR($O244="insufficient_source_evidence",$O244="operational_failure"),$H244="",$J244="",$L244="",$N244="",$Q244&lt;&gt;"",$R244="runner_monotonic_not_scorable"),"NotScorable","Partial")))</x:f>
        <x:v>Pending</x:v>
      </x:c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50"/>
      <x:c r="O245" s="44"/>
      <x:c r="P245" s="53"/>
      <x:c r="Q245" s="53"/>
      <x:c r="R245" s="44"/>
      <x:c r="S245" s="47" t="str">
        <x:f>IF(COUNTA($H245:$R245)=0,"Pending",IF(AND($A245&lt;&gt;"",$B245&lt;&gt;"",$C245&lt;&gt;"",$D245&lt;&gt;"",$E245&lt;&gt;"",$F245&lt;&gt;"",ISNUMBER($G245),$G245&gt;=1,ISNUMBER($H245),MOD($H245,1)=0,$H245&gt;=1,$H245&lt;=5,ISNUMBER($J245),MOD($J245,1)=0,$J245&gt;=1,$J245&lt;=5,ISNUMBER($L245),MOD($L245,1)=0,$L245&gt;=1,$L245&lt;=5,ISNUMBER($N245),$N245&gt;=0,$O245="",$P245&lt;&gt;"",$Q245&lt;&gt;"",$R245="runner_monotonic_complete"),"ScorableComplete",IF(AND($A245&lt;&gt;"",$B245&lt;&gt;"",$C245&lt;&gt;"",$D245&lt;&gt;"",$E245&lt;&gt;"",$F245&lt;&gt;"",ISNUMBER($G245),$G245&gt;=1,OR($O245="insufficient_source_evidence",$O245="operational_failure"),$H245="",$J245="",$L245="",$N245="",$Q245&lt;&gt;"",$R245="runner_monotonic_not_scorable"),"NotScorable","Partial")))</x:f>
        <x:v>Pending</x:v>
      </x:c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50"/>
      <x:c r="O246" s="44"/>
      <x:c r="P246" s="53"/>
      <x:c r="Q246" s="53"/>
      <x:c r="R246" s="44"/>
      <x:c r="S246" s="47" t="str">
        <x:f>IF(COUNTA($H246:$R246)=0,"Pending",IF(AND($A246&lt;&gt;"",$B246&lt;&gt;"",$C246&lt;&gt;"",$D246&lt;&gt;"",$E246&lt;&gt;"",$F246&lt;&gt;"",ISNUMBER($G246),$G246&gt;=1,ISNUMBER($H246),MOD($H246,1)=0,$H246&gt;=1,$H246&lt;=5,ISNUMBER($J246),MOD($J246,1)=0,$J246&gt;=1,$J246&lt;=5,ISNUMBER($L246),MOD($L246,1)=0,$L246&gt;=1,$L246&lt;=5,ISNUMBER($N246),$N246&gt;=0,$O246="",$P246&lt;&gt;"",$Q246&lt;&gt;"",$R246="runner_monotonic_complete"),"ScorableComplete",IF(AND($A246&lt;&gt;"",$B246&lt;&gt;"",$C246&lt;&gt;"",$D246&lt;&gt;"",$E246&lt;&gt;"",$F246&lt;&gt;"",ISNUMBER($G246),$G246&gt;=1,OR($O246="insufficient_source_evidence",$O246="operational_failure"),$H246="",$J246="",$L246="",$N246="",$Q246&lt;&gt;"",$R246="runner_monotonic_not_scorable"),"NotScorable","Partial")))</x:f>
        <x:v>Pending</x:v>
      </x:c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50"/>
      <x:c r="O247" s="44"/>
      <x:c r="P247" s="53"/>
      <x:c r="Q247" s="53"/>
      <x:c r="R247" s="44"/>
      <x:c r="S247" s="47" t="str">
        <x:f>IF(COUNTA($H247:$R247)=0,"Pending",IF(AND($A247&lt;&gt;"",$B247&lt;&gt;"",$C247&lt;&gt;"",$D247&lt;&gt;"",$E247&lt;&gt;"",$F247&lt;&gt;"",ISNUMBER($G247),$G247&gt;=1,ISNUMBER($H247),MOD($H247,1)=0,$H247&gt;=1,$H247&lt;=5,ISNUMBER($J247),MOD($J247,1)=0,$J247&gt;=1,$J247&lt;=5,ISNUMBER($L247),MOD($L247,1)=0,$L247&gt;=1,$L247&lt;=5,ISNUMBER($N247),$N247&gt;=0,$O247="",$P247&lt;&gt;"",$Q247&lt;&gt;"",$R247="runner_monotonic_complete"),"ScorableComplete",IF(AND($A247&lt;&gt;"",$B247&lt;&gt;"",$C247&lt;&gt;"",$D247&lt;&gt;"",$E247&lt;&gt;"",$F247&lt;&gt;"",ISNUMBER($G247),$G247&gt;=1,OR($O247="insufficient_source_evidence",$O247="operational_failure"),$H247="",$J247="",$L247="",$N247="",$Q247&lt;&gt;"",$R247="runner_monotonic_not_scorable"),"NotScorable","Partial")))</x:f>
        <x:v>Pending</x:v>
      </x:c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50"/>
      <x:c r="O248" s="44"/>
      <x:c r="P248" s="53"/>
      <x:c r="Q248" s="53"/>
      <x:c r="R248" s="44"/>
      <x:c r="S248" s="47" t="str">
        <x:f>IF(COUNTA($H248:$R248)=0,"Pending",IF(AND($A248&lt;&gt;"",$B248&lt;&gt;"",$C248&lt;&gt;"",$D248&lt;&gt;"",$E248&lt;&gt;"",$F248&lt;&gt;"",ISNUMBER($G248),$G248&gt;=1,ISNUMBER($H248),MOD($H248,1)=0,$H248&gt;=1,$H248&lt;=5,ISNUMBER($J248),MOD($J248,1)=0,$J248&gt;=1,$J248&lt;=5,ISNUMBER($L248),MOD($L248,1)=0,$L248&gt;=1,$L248&lt;=5,ISNUMBER($N248),$N248&gt;=0,$O248="",$P248&lt;&gt;"",$Q248&lt;&gt;"",$R248="runner_monotonic_complete"),"ScorableComplete",IF(AND($A248&lt;&gt;"",$B248&lt;&gt;"",$C248&lt;&gt;"",$D248&lt;&gt;"",$E248&lt;&gt;"",$F248&lt;&gt;"",ISNUMBER($G248),$G248&gt;=1,OR($O248="insufficient_source_evidence",$O248="operational_failure"),$H248="",$J248="",$L248="",$N248="",$Q248&lt;&gt;"",$R248="runner_monotonic_not_scorable"),"NotScorable","Partial")))</x:f>
        <x:v>Pending</x:v>
      </x:c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50"/>
      <x:c r="O249" s="44"/>
      <x:c r="P249" s="53"/>
      <x:c r="Q249" s="53"/>
      <x:c r="R249" s="44"/>
      <x:c r="S249" s="47" t="str">
        <x:f>IF(COUNTA($H249:$R249)=0,"Pending",IF(AND($A249&lt;&gt;"",$B249&lt;&gt;"",$C249&lt;&gt;"",$D249&lt;&gt;"",$E249&lt;&gt;"",$F249&lt;&gt;"",ISNUMBER($G249),$G249&gt;=1,ISNUMBER($H249),MOD($H249,1)=0,$H249&gt;=1,$H249&lt;=5,ISNUMBER($J249),MOD($J249,1)=0,$J249&gt;=1,$J249&lt;=5,ISNUMBER($L249),MOD($L249,1)=0,$L249&gt;=1,$L249&lt;=5,ISNUMBER($N249),$N249&gt;=0,$O249="",$P249&lt;&gt;"",$Q249&lt;&gt;"",$R249="runner_monotonic_complete"),"ScorableComplete",IF(AND($A249&lt;&gt;"",$B249&lt;&gt;"",$C249&lt;&gt;"",$D249&lt;&gt;"",$E249&lt;&gt;"",$F249&lt;&gt;"",ISNUMBER($G249),$G249&gt;=1,OR($O249="insufficient_source_evidence",$O249="operational_failure"),$H249="",$J249="",$L249="",$N249="",$Q249&lt;&gt;"",$R249="runner_monotonic_not_scorable"),"NotScorable","Partial")))</x:f>
        <x:v>Pending</x:v>
      </x:c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50"/>
      <x:c r="O250" s="44"/>
      <x:c r="P250" s="53"/>
      <x:c r="Q250" s="53"/>
      <x:c r="R250" s="44"/>
      <x:c r="S250" s="47" t="str">
        <x:f>IF(COUNTA($H250:$R250)=0,"Pending",IF(AND($A250&lt;&gt;"",$B250&lt;&gt;"",$C250&lt;&gt;"",$D250&lt;&gt;"",$E250&lt;&gt;"",$F250&lt;&gt;"",ISNUMBER($G250),$G250&gt;=1,ISNUMBER($H250),MOD($H250,1)=0,$H250&gt;=1,$H250&lt;=5,ISNUMBER($J250),MOD($J250,1)=0,$J250&gt;=1,$J250&lt;=5,ISNUMBER($L250),MOD($L250,1)=0,$L250&gt;=1,$L250&lt;=5,ISNUMBER($N250),$N250&gt;=0,$O250="",$P250&lt;&gt;"",$Q250&lt;&gt;"",$R250="runner_monotonic_complete"),"ScorableComplete",IF(AND($A250&lt;&gt;"",$B250&lt;&gt;"",$C250&lt;&gt;"",$D250&lt;&gt;"",$E250&lt;&gt;"",$F250&lt;&gt;"",ISNUMBER($G250),$G250&gt;=1,OR($O250="insufficient_source_evidence",$O250="operational_failure"),$H250="",$J250="",$L250="",$N250="",$Q250&lt;&gt;"",$R250="runner_monotonic_not_scorable"),"NotScorable","Partial")))</x:f>
        <x:v>Pending</x:v>
      </x:c>
    </x:row>
    <x:row r="251">
      <x:c r="A251" s="44"/>
      <x:c r="B251" s="44"/>
      <x:c r="C251" s="44"/>
      <x:c r="D251" s="44"/>
      <x:c r="E251" s="44"/>
      <x:c r="F251" s="44"/>
      <x:c r="G251" s="44"/>
      <x:c r="H251" s="44"/>
      <x:c r="I251" s="44"/>
      <x:c r="J251" s="44"/>
      <x:c r="K251" s="44"/>
      <x:c r="L251" s="44"/>
      <x:c r="M251" s="44"/>
      <x:c r="N251" s="50"/>
      <x:c r="O251" s="44"/>
      <x:c r="P251" s="53"/>
      <x:c r="Q251" s="53"/>
      <x:c r="R251" s="44"/>
      <x:c r="S251" s="47" t="str">
        <x:f>IF(COUNTA($H251:$R251)=0,"Pending",IF(AND($A251&lt;&gt;"",$B251&lt;&gt;"",$C251&lt;&gt;"",$D251&lt;&gt;"",$E251&lt;&gt;"",$F251&lt;&gt;"",ISNUMBER($G251),$G251&gt;=1,ISNUMBER($H251),MOD($H251,1)=0,$H251&gt;=1,$H251&lt;=5,ISNUMBER($J251),MOD($J251,1)=0,$J251&gt;=1,$J251&lt;=5,ISNUMBER($L251),MOD($L251,1)=0,$L251&gt;=1,$L251&lt;=5,ISNUMBER($N251),$N251&gt;=0,$O251="",$P251&lt;&gt;"",$Q251&lt;&gt;"",$R251="runner_monotonic_complete"),"ScorableComplete",IF(AND($A251&lt;&gt;"",$B251&lt;&gt;"",$C251&lt;&gt;"",$D251&lt;&gt;"",$E251&lt;&gt;"",$F251&lt;&gt;"",ISNUMBER($G251),$G251&gt;=1,OR($O251="insufficient_source_evidence",$O251="operational_failure"),$H251="",$J251="",$L251="",$N251="",$Q251&lt;&gt;"",$R251="runner_monotonic_not_scorable"),"NotScorable","Partial")))</x:f>
        <x:v>Pending</x:v>
      </x:c>
    </x:row>
    <x:row r="252">
      <x:c r="A252" s="44"/>
      <x:c r="B252" s="44"/>
      <x:c r="C252" s="44"/>
      <x:c r="D252" s="44"/>
      <x:c r="E252" s="44"/>
      <x:c r="F252" s="44"/>
      <x:c r="G252" s="44"/>
      <x:c r="H252" s="44"/>
      <x:c r="I252" s="44"/>
      <x:c r="J252" s="44"/>
      <x:c r="K252" s="44"/>
      <x:c r="L252" s="44"/>
      <x:c r="M252" s="44"/>
      <x:c r="N252" s="50"/>
      <x:c r="O252" s="44"/>
      <x:c r="P252" s="53"/>
      <x:c r="Q252" s="53"/>
      <x:c r="R252" s="44"/>
      <x:c r="S252" s="47" t="str">
        <x:f>IF(COUNTA($H252:$R252)=0,"Pending",IF(AND($A252&lt;&gt;"",$B252&lt;&gt;"",$C252&lt;&gt;"",$D252&lt;&gt;"",$E252&lt;&gt;"",$F252&lt;&gt;"",ISNUMBER($G252),$G252&gt;=1,ISNUMBER($H252),MOD($H252,1)=0,$H252&gt;=1,$H252&lt;=5,ISNUMBER($J252),MOD($J252,1)=0,$J252&gt;=1,$J252&lt;=5,ISNUMBER($L252),MOD($L252,1)=0,$L252&gt;=1,$L252&lt;=5,ISNUMBER($N252),$N252&gt;=0,$O252="",$P252&lt;&gt;"",$Q252&lt;&gt;"",$R252="runner_monotonic_complete"),"ScorableComplete",IF(AND($A252&lt;&gt;"",$B252&lt;&gt;"",$C252&lt;&gt;"",$D252&lt;&gt;"",$E252&lt;&gt;"",$F252&lt;&gt;"",ISNUMBER($G252),$G252&gt;=1,OR($O252="insufficient_source_evidence",$O252="operational_failure"),$H252="",$J252="",$L252="",$N252="",$Q252&lt;&gt;"",$R252="runner_monotonic_not_scorable"),"NotScorable","Partial")))</x:f>
        <x:v>Pending</x:v>
      </x:c>
    </x:row>
    <x:row r="253">
      <x:c r="A253" s="44"/>
      <x:c r="B253" s="44"/>
      <x:c r="C253" s="44"/>
      <x:c r="D253" s="44"/>
      <x:c r="E253" s="44"/>
      <x:c r="F253" s="44"/>
      <x:c r="G253" s="44"/>
      <x:c r="H253" s="44"/>
      <x:c r="I253" s="44"/>
      <x:c r="J253" s="44"/>
      <x:c r="K253" s="44"/>
      <x:c r="L253" s="44"/>
      <x:c r="M253" s="44"/>
      <x:c r="N253" s="50"/>
      <x:c r="O253" s="44"/>
      <x:c r="P253" s="53"/>
      <x:c r="Q253" s="53"/>
      <x:c r="R253" s="44"/>
      <x:c r="S253" s="47" t="str">
        <x:f>IF(COUNTA($H253:$R253)=0,"Pending",IF(AND($A253&lt;&gt;"",$B253&lt;&gt;"",$C253&lt;&gt;"",$D253&lt;&gt;"",$E253&lt;&gt;"",$F253&lt;&gt;"",ISNUMBER($G253),$G253&gt;=1,ISNUMBER($H253),MOD($H253,1)=0,$H253&gt;=1,$H253&lt;=5,ISNUMBER($J253),MOD($J253,1)=0,$J253&gt;=1,$J253&lt;=5,ISNUMBER($L253),MOD($L253,1)=0,$L253&gt;=1,$L253&lt;=5,ISNUMBER($N253),$N253&gt;=0,$O253="",$P253&lt;&gt;"",$Q253&lt;&gt;"",$R253="runner_monotonic_complete"),"ScorableComplete",IF(AND($A253&lt;&gt;"",$B253&lt;&gt;"",$C253&lt;&gt;"",$D253&lt;&gt;"",$E253&lt;&gt;"",$F253&lt;&gt;"",ISNUMBER($G253),$G253&gt;=1,OR($O253="insufficient_source_evidence",$O253="operational_failure"),$H253="",$J253="",$L253="",$N253="",$Q253&lt;&gt;"",$R253="runner_monotonic_not_scorable"),"NotScorable","Partial")))</x:f>
        <x:v>Pending</x:v>
      </x:c>
    </x:row>
    <x:row r="254">
      <x:c r="A254" s="44"/>
      <x:c r="B254" s="44"/>
      <x:c r="C254" s="44"/>
      <x:c r="D254" s="44"/>
      <x:c r="E254" s="44"/>
      <x:c r="F254" s="44"/>
      <x:c r="G254" s="44"/>
      <x:c r="H254" s="44"/>
      <x:c r="I254" s="44"/>
      <x:c r="J254" s="44"/>
      <x:c r="K254" s="44"/>
      <x:c r="L254" s="44"/>
      <x:c r="M254" s="44"/>
      <x:c r="N254" s="50"/>
      <x:c r="O254" s="44"/>
      <x:c r="P254" s="53"/>
      <x:c r="Q254" s="53"/>
      <x:c r="R254" s="44"/>
      <x:c r="S254" s="47" t="str">
        <x:f>IF(COUNTA($H254:$R254)=0,"Pending",IF(AND($A254&lt;&gt;"",$B254&lt;&gt;"",$C254&lt;&gt;"",$D254&lt;&gt;"",$E254&lt;&gt;"",$F254&lt;&gt;"",ISNUMBER($G254),$G254&gt;=1,ISNUMBER($H254),MOD($H254,1)=0,$H254&gt;=1,$H254&lt;=5,ISNUMBER($J254),MOD($J254,1)=0,$J254&gt;=1,$J254&lt;=5,ISNUMBER($L254),MOD($L254,1)=0,$L254&gt;=1,$L254&lt;=5,ISNUMBER($N254),$N254&gt;=0,$O254="",$P254&lt;&gt;"",$Q254&lt;&gt;"",$R254="runner_monotonic_complete"),"ScorableComplete",IF(AND($A254&lt;&gt;"",$B254&lt;&gt;"",$C254&lt;&gt;"",$D254&lt;&gt;"",$E254&lt;&gt;"",$F254&lt;&gt;"",ISNUMBER($G254),$G254&gt;=1,OR($O254="insufficient_source_evidence",$O254="operational_failure"),$H254="",$J254="",$L254="",$N254="",$Q254&lt;&gt;"",$R254="runner_monotonic_not_scorable"),"NotScorable","Partial")))</x:f>
        <x:v>Pending</x:v>
      </x:c>
    </x:row>
    <x:row r="255">
      <x:c r="A255" s="44"/>
      <x:c r="B255" s="44"/>
      <x:c r="C255" s="44"/>
      <x:c r="D255" s="44"/>
      <x:c r="E255" s="44"/>
      <x:c r="F255" s="44"/>
      <x:c r="G255" s="44"/>
      <x:c r="H255" s="44"/>
      <x:c r="I255" s="44"/>
      <x:c r="J255" s="44"/>
      <x:c r="K255" s="44"/>
      <x:c r="L255" s="44"/>
      <x:c r="M255" s="44"/>
      <x:c r="N255" s="50"/>
      <x:c r="O255" s="44"/>
      <x:c r="P255" s="53"/>
      <x:c r="Q255" s="53"/>
      <x:c r="R255" s="44"/>
      <x:c r="S255" s="47" t="str">
        <x:f>IF(COUNTA($H255:$R255)=0,"Pending",IF(AND($A255&lt;&gt;"",$B255&lt;&gt;"",$C255&lt;&gt;"",$D255&lt;&gt;"",$E255&lt;&gt;"",$F255&lt;&gt;"",ISNUMBER($G255),$G255&gt;=1,ISNUMBER($H255),MOD($H255,1)=0,$H255&gt;=1,$H255&lt;=5,ISNUMBER($J255),MOD($J255,1)=0,$J255&gt;=1,$J255&lt;=5,ISNUMBER($L255),MOD($L255,1)=0,$L255&gt;=1,$L255&lt;=5,ISNUMBER($N255),$N255&gt;=0,$O255="",$P255&lt;&gt;"",$Q255&lt;&gt;"",$R255="runner_monotonic_complete"),"ScorableComplete",IF(AND($A255&lt;&gt;"",$B255&lt;&gt;"",$C255&lt;&gt;"",$D255&lt;&gt;"",$E255&lt;&gt;"",$F255&lt;&gt;"",ISNUMBER($G255),$G255&gt;=1,OR($O255="insufficient_source_evidence",$O255="operational_failure"),$H255="",$J255="",$L255="",$N255="",$Q255&lt;&gt;"",$R255="runner_monotonic_not_scorable"),"NotScorable","Partial")))</x:f>
        <x:v>Pending</x:v>
      </x:c>
    </x:row>
    <x:row r="256">
      <x:c r="A256" s="44"/>
      <x:c r="B256" s="44"/>
      <x:c r="C256" s="44"/>
      <x:c r="D256" s="44"/>
      <x:c r="E256" s="44"/>
      <x:c r="F256" s="44"/>
      <x:c r="G256" s="44"/>
      <x:c r="H256" s="44"/>
      <x:c r="I256" s="44"/>
      <x:c r="J256" s="44"/>
      <x:c r="K256" s="44"/>
      <x:c r="L256" s="44"/>
      <x:c r="M256" s="44"/>
      <x:c r="N256" s="50"/>
      <x:c r="O256" s="44"/>
      <x:c r="P256" s="53"/>
      <x:c r="Q256" s="53"/>
      <x:c r="R256" s="44"/>
      <x:c r="S256" s="47" t="str">
        <x:f>IF(COUNTA($H256:$R256)=0,"Pending",IF(AND($A256&lt;&gt;"",$B256&lt;&gt;"",$C256&lt;&gt;"",$D256&lt;&gt;"",$E256&lt;&gt;"",$F256&lt;&gt;"",ISNUMBER($G256),$G256&gt;=1,ISNUMBER($H256),MOD($H256,1)=0,$H256&gt;=1,$H256&lt;=5,ISNUMBER($J256),MOD($J256,1)=0,$J256&gt;=1,$J256&lt;=5,ISNUMBER($L256),MOD($L256,1)=0,$L256&gt;=1,$L256&lt;=5,ISNUMBER($N256),$N256&gt;=0,$O256="",$P256&lt;&gt;"",$Q256&lt;&gt;"",$R256="runner_monotonic_complete"),"ScorableComplete",IF(AND($A256&lt;&gt;"",$B256&lt;&gt;"",$C256&lt;&gt;"",$D256&lt;&gt;"",$E256&lt;&gt;"",$F256&lt;&gt;"",ISNUMBER($G256),$G256&gt;=1,OR($O256="insufficient_source_evidence",$O256="operational_failure"),$H256="",$J256="",$L256="",$N256="",$Q256&lt;&gt;"",$R256="runner_monotonic_not_scorable"),"NotScorable","Partial")))</x:f>
        <x:v>Pending</x:v>
      </x:c>
    </x:row>
    <x:row r="257">
      <x:c r="A257" s="44"/>
      <x:c r="B257" s="44"/>
      <x:c r="C257" s="44"/>
      <x:c r="D257" s="44"/>
      <x:c r="E257" s="44"/>
      <x:c r="F257" s="44"/>
      <x:c r="G257" s="44"/>
      <x:c r="H257" s="44"/>
      <x:c r="I257" s="44"/>
      <x:c r="J257" s="44"/>
      <x:c r="K257" s="44"/>
      <x:c r="L257" s="44"/>
      <x:c r="M257" s="44"/>
      <x:c r="N257" s="50"/>
      <x:c r="O257" s="44"/>
      <x:c r="P257" s="53"/>
      <x:c r="Q257" s="53"/>
      <x:c r="R257" s="44"/>
      <x:c r="S257" s="47" t="str">
        <x:f>IF(COUNTA($H257:$R257)=0,"Pending",IF(AND($A257&lt;&gt;"",$B257&lt;&gt;"",$C257&lt;&gt;"",$D257&lt;&gt;"",$E257&lt;&gt;"",$F257&lt;&gt;"",ISNUMBER($G257),$G257&gt;=1,ISNUMBER($H257),MOD($H257,1)=0,$H257&gt;=1,$H257&lt;=5,ISNUMBER($J257),MOD($J257,1)=0,$J257&gt;=1,$J257&lt;=5,ISNUMBER($L257),MOD($L257,1)=0,$L257&gt;=1,$L257&lt;=5,ISNUMBER($N257),$N257&gt;=0,$O257="",$P257&lt;&gt;"",$Q257&lt;&gt;"",$R257="runner_monotonic_complete"),"ScorableComplete",IF(AND($A257&lt;&gt;"",$B257&lt;&gt;"",$C257&lt;&gt;"",$D257&lt;&gt;"",$E257&lt;&gt;"",$F257&lt;&gt;"",ISNUMBER($G257),$G257&gt;=1,OR($O257="insufficient_source_evidence",$O257="operational_failure"),$H257="",$J257="",$L257="",$N257="",$Q257&lt;&gt;"",$R257="runner_monotonic_not_scorable"),"NotScorable","Partial")))</x:f>
        <x:v>Pending</x:v>
      </x:c>
    </x:row>
    <x:row r="258">
      <x:c r="A258" s="44"/>
      <x:c r="B258" s="44"/>
      <x:c r="C258" s="44"/>
      <x:c r="D258" s="44"/>
      <x:c r="E258" s="44"/>
      <x:c r="F258" s="44"/>
      <x:c r="G258" s="44"/>
      <x:c r="H258" s="44"/>
      <x:c r="I258" s="44"/>
      <x:c r="J258" s="44"/>
      <x:c r="K258" s="44"/>
      <x:c r="L258" s="44"/>
      <x:c r="M258" s="44"/>
      <x:c r="N258" s="50"/>
      <x:c r="O258" s="44"/>
      <x:c r="P258" s="53"/>
      <x:c r="Q258" s="53"/>
      <x:c r="R258" s="44"/>
      <x:c r="S258" s="47" t="str">
        <x:f>IF(COUNTA($H258:$R258)=0,"Pending",IF(AND($A258&lt;&gt;"",$B258&lt;&gt;"",$C258&lt;&gt;"",$D258&lt;&gt;"",$E258&lt;&gt;"",$F258&lt;&gt;"",ISNUMBER($G258),$G258&gt;=1,ISNUMBER($H258),MOD($H258,1)=0,$H258&gt;=1,$H258&lt;=5,ISNUMBER($J258),MOD($J258,1)=0,$J258&gt;=1,$J258&lt;=5,ISNUMBER($L258),MOD($L258,1)=0,$L258&gt;=1,$L258&lt;=5,ISNUMBER($N258),$N258&gt;=0,$O258="",$P258&lt;&gt;"",$Q258&lt;&gt;"",$R258="runner_monotonic_complete"),"ScorableComplete",IF(AND($A258&lt;&gt;"",$B258&lt;&gt;"",$C258&lt;&gt;"",$D258&lt;&gt;"",$E258&lt;&gt;"",$F258&lt;&gt;"",ISNUMBER($G258),$G258&gt;=1,OR($O258="insufficient_source_evidence",$O258="operational_failure"),$H258="",$J258="",$L258="",$N258="",$Q258&lt;&gt;"",$R258="runner_monotonic_not_scorable"),"NotScorable","Partial")))</x:f>
        <x:v>Pending</x:v>
      </x:c>
    </x:row>
    <x:row r="259">
      <x:c r="A259" s="44"/>
      <x:c r="B259" s="44"/>
      <x:c r="C259" s="44"/>
      <x:c r="D259" s="44"/>
      <x:c r="E259" s="44"/>
      <x:c r="F259" s="44"/>
      <x:c r="G259" s="44"/>
      <x:c r="H259" s="44"/>
      <x:c r="I259" s="44"/>
      <x:c r="J259" s="44"/>
      <x:c r="K259" s="44"/>
      <x:c r="L259" s="44"/>
      <x:c r="M259" s="44"/>
      <x:c r="N259" s="50"/>
      <x:c r="O259" s="44"/>
      <x:c r="P259" s="53"/>
      <x:c r="Q259" s="53"/>
      <x:c r="R259" s="44"/>
      <x:c r="S259" s="47" t="str">
        <x:f>IF(COUNTA($H259:$R259)=0,"Pending",IF(AND($A259&lt;&gt;"",$B259&lt;&gt;"",$C259&lt;&gt;"",$D259&lt;&gt;"",$E259&lt;&gt;"",$F259&lt;&gt;"",ISNUMBER($G259),$G259&gt;=1,ISNUMBER($H259),MOD($H259,1)=0,$H259&gt;=1,$H259&lt;=5,ISNUMBER($J259),MOD($J259,1)=0,$J259&gt;=1,$J259&lt;=5,ISNUMBER($L259),MOD($L259,1)=0,$L259&gt;=1,$L259&lt;=5,ISNUMBER($N259),$N259&gt;=0,$O259="",$P259&lt;&gt;"",$Q259&lt;&gt;"",$R259="runner_monotonic_complete"),"ScorableComplete",IF(AND($A259&lt;&gt;"",$B259&lt;&gt;"",$C259&lt;&gt;"",$D259&lt;&gt;"",$E259&lt;&gt;"",$F259&lt;&gt;"",ISNUMBER($G259),$G259&gt;=1,OR($O259="insufficient_source_evidence",$O259="operational_failure"),$H259="",$J259="",$L259="",$N259="",$Q259&lt;&gt;"",$R259="runner_monotonic_not_scorable"),"NotScorable","Partial")))</x:f>
        <x:v>Pending</x:v>
      </x:c>
    </x:row>
    <x:row r="260">
      <x:c r="A260" s="44"/>
      <x:c r="B260" s="44"/>
      <x:c r="C260" s="44"/>
      <x:c r="D260" s="44"/>
      <x:c r="E260" s="44"/>
      <x:c r="F260" s="44"/>
      <x:c r="G260" s="44"/>
      <x:c r="H260" s="44"/>
      <x:c r="I260" s="44"/>
      <x:c r="J260" s="44"/>
      <x:c r="K260" s="44"/>
      <x:c r="L260" s="44"/>
      <x:c r="M260" s="44"/>
      <x:c r="N260" s="50"/>
      <x:c r="O260" s="44"/>
      <x:c r="P260" s="53"/>
      <x:c r="Q260" s="53"/>
      <x:c r="R260" s="44"/>
      <x:c r="S260" s="47" t="str">
        <x:f>IF(COUNTA($H260:$R260)=0,"Pending",IF(AND($A260&lt;&gt;"",$B260&lt;&gt;"",$C260&lt;&gt;"",$D260&lt;&gt;"",$E260&lt;&gt;"",$F260&lt;&gt;"",ISNUMBER($G260),$G260&gt;=1,ISNUMBER($H260),MOD($H260,1)=0,$H260&gt;=1,$H260&lt;=5,ISNUMBER($J260),MOD($J260,1)=0,$J260&gt;=1,$J260&lt;=5,ISNUMBER($L260),MOD($L260,1)=0,$L260&gt;=1,$L260&lt;=5,ISNUMBER($N260),$N260&gt;=0,$O260="",$P260&lt;&gt;"",$Q260&lt;&gt;"",$R260="runner_monotonic_complete"),"ScorableComplete",IF(AND($A260&lt;&gt;"",$B260&lt;&gt;"",$C260&lt;&gt;"",$D260&lt;&gt;"",$E260&lt;&gt;"",$F260&lt;&gt;"",ISNUMBER($G260),$G260&gt;=1,OR($O260="insufficient_source_evidence",$O260="operational_failure"),$H260="",$J260="",$L260="",$N260="",$Q260&lt;&gt;"",$R260="runner_monotonic_not_scorable"),"NotScorable","Partial")))</x:f>
        <x:v>Pending</x:v>
      </x:c>
    </x:row>
    <x:row r="261">
      <x:c r="A261" s="44"/>
      <x:c r="B261" s="44"/>
      <x:c r="C261" s="44"/>
      <x:c r="D261" s="44"/>
      <x:c r="E261" s="44"/>
      <x:c r="F261" s="44"/>
      <x:c r="G261" s="44"/>
      <x:c r="H261" s="44"/>
      <x:c r="I261" s="44"/>
      <x:c r="J261" s="44"/>
      <x:c r="K261" s="44"/>
      <x:c r="L261" s="44"/>
      <x:c r="M261" s="44"/>
      <x:c r="N261" s="50"/>
      <x:c r="O261" s="44"/>
      <x:c r="P261" s="53"/>
      <x:c r="Q261" s="53"/>
      <x:c r="R261" s="44"/>
      <x:c r="S261" s="47" t="str">
        <x:f>IF(COUNTA($H261:$R261)=0,"Pending",IF(AND($A261&lt;&gt;"",$B261&lt;&gt;"",$C261&lt;&gt;"",$D261&lt;&gt;"",$E261&lt;&gt;"",$F261&lt;&gt;"",ISNUMBER($G261),$G261&gt;=1,ISNUMBER($H261),MOD($H261,1)=0,$H261&gt;=1,$H261&lt;=5,ISNUMBER($J261),MOD($J261,1)=0,$J261&gt;=1,$J261&lt;=5,ISNUMBER($L261),MOD($L261,1)=0,$L261&gt;=1,$L261&lt;=5,ISNUMBER($N261),$N261&gt;=0,$O261="",$P261&lt;&gt;"",$Q261&lt;&gt;"",$R261="runner_monotonic_complete"),"ScorableComplete",IF(AND($A261&lt;&gt;"",$B261&lt;&gt;"",$C261&lt;&gt;"",$D261&lt;&gt;"",$E261&lt;&gt;"",$F261&lt;&gt;"",ISNUMBER($G261),$G261&gt;=1,OR($O261="insufficient_source_evidence",$O261="operational_failure"),$H261="",$J261="",$L261="",$N261="",$Q261&lt;&gt;"",$R261="runner_monotonic_not_scorable"),"NotScorable","Partial")))</x:f>
        <x:v>Pending</x:v>
      </x:c>
    </x:row>
    <x:row r="262">
      <x:c r="A262" s="44"/>
      <x:c r="B262" s="44"/>
      <x:c r="C262" s="44"/>
      <x:c r="D262" s="44"/>
      <x:c r="E262" s="44"/>
      <x:c r="F262" s="44"/>
      <x:c r="G262" s="44"/>
      <x:c r="H262" s="44"/>
      <x:c r="I262" s="44"/>
      <x:c r="J262" s="44"/>
      <x:c r="K262" s="44"/>
      <x:c r="L262" s="44"/>
      <x:c r="M262" s="44"/>
      <x:c r="N262" s="50"/>
      <x:c r="O262" s="44"/>
      <x:c r="P262" s="53"/>
      <x:c r="Q262" s="53"/>
      <x:c r="R262" s="44"/>
      <x:c r="S262" s="47" t="str">
        <x:f>IF(COUNTA($H262:$R262)=0,"Pending",IF(AND($A262&lt;&gt;"",$B262&lt;&gt;"",$C262&lt;&gt;"",$D262&lt;&gt;"",$E262&lt;&gt;"",$F262&lt;&gt;"",ISNUMBER($G262),$G262&gt;=1,ISNUMBER($H262),MOD($H262,1)=0,$H262&gt;=1,$H262&lt;=5,ISNUMBER($J262),MOD($J262,1)=0,$J262&gt;=1,$J262&lt;=5,ISNUMBER($L262),MOD($L262,1)=0,$L262&gt;=1,$L262&lt;=5,ISNUMBER($N262),$N262&gt;=0,$O262="",$P262&lt;&gt;"",$Q262&lt;&gt;"",$R262="runner_monotonic_complete"),"ScorableComplete",IF(AND($A262&lt;&gt;"",$B262&lt;&gt;"",$C262&lt;&gt;"",$D262&lt;&gt;"",$E262&lt;&gt;"",$F262&lt;&gt;"",ISNUMBER($G262),$G262&gt;=1,OR($O262="insufficient_source_evidence",$O262="operational_failure"),$H262="",$J262="",$L262="",$N262="",$Q262&lt;&gt;"",$R262="runner_monotonic_not_scorable"),"NotScorable","Partial")))</x:f>
        <x:v>Pending</x:v>
      </x:c>
    </x:row>
    <x:row r="263">
      <x:c r="A263" s="44"/>
      <x:c r="B263" s="44"/>
      <x:c r="C263" s="44"/>
      <x:c r="D263" s="44"/>
      <x:c r="E263" s="44"/>
      <x:c r="F263" s="44"/>
      <x:c r="G263" s="44"/>
      <x:c r="H263" s="44"/>
      <x:c r="I263" s="44"/>
      <x:c r="J263" s="44"/>
      <x:c r="K263" s="44"/>
      <x:c r="L263" s="44"/>
      <x:c r="M263" s="44"/>
      <x:c r="N263" s="50"/>
      <x:c r="O263" s="44"/>
      <x:c r="P263" s="53"/>
      <x:c r="Q263" s="53"/>
      <x:c r="R263" s="44"/>
      <x:c r="S263" s="47" t="str">
        <x:f>IF(COUNTA($H263:$R263)=0,"Pending",IF(AND($A263&lt;&gt;"",$B263&lt;&gt;"",$C263&lt;&gt;"",$D263&lt;&gt;"",$E263&lt;&gt;"",$F263&lt;&gt;"",ISNUMBER($G263),$G263&gt;=1,ISNUMBER($H263),MOD($H263,1)=0,$H263&gt;=1,$H263&lt;=5,ISNUMBER($J263),MOD($J263,1)=0,$J263&gt;=1,$J263&lt;=5,ISNUMBER($L263),MOD($L263,1)=0,$L263&gt;=1,$L263&lt;=5,ISNUMBER($N263),$N263&gt;=0,$O263="",$P263&lt;&gt;"",$Q263&lt;&gt;"",$R263="runner_monotonic_complete"),"ScorableComplete",IF(AND($A263&lt;&gt;"",$B263&lt;&gt;"",$C263&lt;&gt;"",$D263&lt;&gt;"",$E263&lt;&gt;"",$F263&lt;&gt;"",ISNUMBER($G263),$G263&gt;=1,OR($O263="insufficient_source_evidence",$O263="operational_failure"),$H263="",$J263="",$L263="",$N263="",$Q263&lt;&gt;"",$R263="runner_monotonic_not_scorable"),"NotScorable","Partial")))</x:f>
        <x:v>Pending</x:v>
      </x:c>
    </x:row>
    <x:row r="264">
      <x:c r="A264" s="44"/>
      <x:c r="B264" s="44"/>
      <x:c r="C264" s="44"/>
      <x:c r="D264" s="44"/>
      <x:c r="E264" s="44"/>
      <x:c r="F264" s="44"/>
      <x:c r="G264" s="44"/>
      <x:c r="H264" s="44"/>
      <x:c r="I264" s="44"/>
      <x:c r="J264" s="44"/>
      <x:c r="K264" s="44"/>
      <x:c r="L264" s="44"/>
      <x:c r="M264" s="44"/>
      <x:c r="N264" s="50"/>
      <x:c r="O264" s="44"/>
      <x:c r="P264" s="53"/>
      <x:c r="Q264" s="53"/>
      <x:c r="R264" s="44"/>
      <x:c r="S264" s="47" t="str">
        <x:f>IF(COUNTA($H264:$R264)=0,"Pending",IF(AND($A264&lt;&gt;"",$B264&lt;&gt;"",$C264&lt;&gt;"",$D264&lt;&gt;"",$E264&lt;&gt;"",$F264&lt;&gt;"",ISNUMBER($G264),$G264&gt;=1,ISNUMBER($H264),MOD($H264,1)=0,$H264&gt;=1,$H264&lt;=5,ISNUMBER($J264),MOD($J264,1)=0,$J264&gt;=1,$J264&lt;=5,ISNUMBER($L264),MOD($L264,1)=0,$L264&gt;=1,$L264&lt;=5,ISNUMBER($N264),$N264&gt;=0,$O264="",$P264&lt;&gt;"",$Q264&lt;&gt;"",$R264="runner_monotonic_complete"),"ScorableComplete",IF(AND($A264&lt;&gt;"",$B264&lt;&gt;"",$C264&lt;&gt;"",$D264&lt;&gt;"",$E264&lt;&gt;"",$F264&lt;&gt;"",ISNUMBER($G264),$G264&gt;=1,OR($O264="insufficient_source_evidence",$O264="operational_failure"),$H264="",$J264="",$L264="",$N264="",$Q264&lt;&gt;"",$R264="runner_monotonic_not_scorable"),"NotScorable","Partial")))</x:f>
        <x:v>Pending</x:v>
      </x:c>
    </x:row>
    <x:row r="265">
      <x:c r="A265" s="44"/>
      <x:c r="B265" s="44"/>
      <x:c r="C265" s="44"/>
      <x:c r="D265" s="44"/>
      <x:c r="E265" s="44"/>
      <x:c r="F265" s="44"/>
      <x:c r="G265" s="44"/>
      <x:c r="H265" s="44"/>
      <x:c r="I265" s="44"/>
      <x:c r="J265" s="44"/>
      <x:c r="K265" s="44"/>
      <x:c r="L265" s="44"/>
      <x:c r="M265" s="44"/>
      <x:c r="N265" s="50"/>
      <x:c r="O265" s="44"/>
      <x:c r="P265" s="53"/>
      <x:c r="Q265" s="53"/>
      <x:c r="R265" s="44"/>
      <x:c r="S265" s="47" t="str">
        <x:f>IF(COUNTA($H265:$R265)=0,"Pending",IF(AND($A265&lt;&gt;"",$B265&lt;&gt;"",$C265&lt;&gt;"",$D265&lt;&gt;"",$E265&lt;&gt;"",$F265&lt;&gt;"",ISNUMBER($G265),$G265&gt;=1,ISNUMBER($H265),MOD($H265,1)=0,$H265&gt;=1,$H265&lt;=5,ISNUMBER($J265),MOD($J265,1)=0,$J265&gt;=1,$J265&lt;=5,ISNUMBER($L265),MOD($L265,1)=0,$L265&gt;=1,$L265&lt;=5,ISNUMBER($N265),$N265&gt;=0,$O265="",$P265&lt;&gt;"",$Q265&lt;&gt;"",$R265="runner_monotonic_complete"),"ScorableComplete",IF(AND($A265&lt;&gt;"",$B265&lt;&gt;"",$C265&lt;&gt;"",$D265&lt;&gt;"",$E265&lt;&gt;"",$F265&lt;&gt;"",ISNUMBER($G265),$G265&gt;=1,OR($O265="insufficient_source_evidence",$O265="operational_failure"),$H265="",$J265="",$L265="",$N265="",$Q265&lt;&gt;"",$R265="runner_monotonic_not_scorable"),"NotScorable","Partial")))</x:f>
        <x:v>Pending</x:v>
      </x:c>
    </x:row>
    <x:row r="266">
      <x:c r="A266" s="44"/>
      <x:c r="B266" s="44"/>
      <x:c r="C266" s="44"/>
      <x:c r="D266" s="44"/>
      <x:c r="E266" s="44"/>
      <x:c r="F266" s="44"/>
      <x:c r="G266" s="44"/>
      <x:c r="H266" s="44"/>
      <x:c r="I266" s="44"/>
      <x:c r="J266" s="44"/>
      <x:c r="K266" s="44"/>
      <x:c r="L266" s="44"/>
      <x:c r="M266" s="44"/>
      <x:c r="N266" s="50"/>
      <x:c r="O266" s="44"/>
      <x:c r="P266" s="53"/>
      <x:c r="Q266" s="53"/>
      <x:c r="R266" s="44"/>
      <x:c r="S266" s="47" t="str">
        <x:f>IF(COUNTA($H266:$R266)=0,"Pending",IF(AND($A266&lt;&gt;"",$B266&lt;&gt;"",$C266&lt;&gt;"",$D266&lt;&gt;"",$E266&lt;&gt;"",$F266&lt;&gt;"",ISNUMBER($G266),$G266&gt;=1,ISNUMBER($H266),MOD($H266,1)=0,$H266&gt;=1,$H266&lt;=5,ISNUMBER($J266),MOD($J266,1)=0,$J266&gt;=1,$J266&lt;=5,ISNUMBER($L266),MOD($L266,1)=0,$L266&gt;=1,$L266&lt;=5,ISNUMBER($N266),$N266&gt;=0,$O266="",$P266&lt;&gt;"",$Q266&lt;&gt;"",$R266="runner_monotonic_complete"),"ScorableComplete",IF(AND($A266&lt;&gt;"",$B266&lt;&gt;"",$C266&lt;&gt;"",$D266&lt;&gt;"",$E266&lt;&gt;"",$F266&lt;&gt;"",ISNUMBER($G266),$G266&gt;=1,OR($O266="insufficient_source_evidence",$O266="operational_failure"),$H266="",$J266="",$L266="",$N266="",$Q266&lt;&gt;"",$R266="runner_monotonic_not_scorable"),"NotScorable","Partial")))</x:f>
        <x:v>Pending</x:v>
      </x:c>
    </x:row>
    <x:row r="267">
      <x:c r="A267" s="44"/>
      <x:c r="B267" s="44"/>
      <x:c r="C267" s="44"/>
      <x:c r="D267" s="44"/>
      <x:c r="E267" s="44"/>
      <x:c r="F267" s="44"/>
      <x:c r="G267" s="44"/>
      <x:c r="H267" s="44"/>
      <x:c r="I267" s="44"/>
      <x:c r="J267" s="44"/>
      <x:c r="K267" s="44"/>
      <x:c r="L267" s="44"/>
      <x:c r="M267" s="44"/>
      <x:c r="N267" s="50"/>
      <x:c r="O267" s="44"/>
      <x:c r="P267" s="53"/>
      <x:c r="Q267" s="53"/>
      <x:c r="R267" s="44"/>
      <x:c r="S267" s="47" t="str">
        <x:f>IF(COUNTA($H267:$R267)=0,"Pending",IF(AND($A267&lt;&gt;"",$B267&lt;&gt;"",$C267&lt;&gt;"",$D267&lt;&gt;"",$E267&lt;&gt;"",$F267&lt;&gt;"",ISNUMBER($G267),$G267&gt;=1,ISNUMBER($H267),MOD($H267,1)=0,$H267&gt;=1,$H267&lt;=5,ISNUMBER($J267),MOD($J267,1)=0,$J267&gt;=1,$J267&lt;=5,ISNUMBER($L267),MOD($L267,1)=0,$L267&gt;=1,$L267&lt;=5,ISNUMBER($N267),$N267&gt;=0,$O267="",$P267&lt;&gt;"",$Q267&lt;&gt;"",$R267="runner_monotonic_complete"),"ScorableComplete",IF(AND($A267&lt;&gt;"",$B267&lt;&gt;"",$C267&lt;&gt;"",$D267&lt;&gt;"",$E267&lt;&gt;"",$F267&lt;&gt;"",ISNUMBER($G267),$G267&gt;=1,OR($O267="insufficient_source_evidence",$O267="operational_failure"),$H267="",$J267="",$L267="",$N267="",$Q267&lt;&gt;"",$R267="runner_monotonic_not_scorable"),"NotScorable","Partial")))</x:f>
        <x:v>Pending</x:v>
      </x:c>
    </x:row>
    <x:row r="268">
      <x:c r="A268" s="44"/>
      <x:c r="B268" s="44"/>
      <x:c r="C268" s="44"/>
      <x:c r="D268" s="44"/>
      <x:c r="E268" s="44"/>
      <x:c r="F268" s="44"/>
      <x:c r="G268" s="44"/>
      <x:c r="H268" s="44"/>
      <x:c r="I268" s="44"/>
      <x:c r="J268" s="44"/>
      <x:c r="K268" s="44"/>
      <x:c r="L268" s="44"/>
      <x:c r="M268" s="44"/>
      <x:c r="N268" s="50"/>
      <x:c r="O268" s="44"/>
      <x:c r="P268" s="53"/>
      <x:c r="Q268" s="53"/>
      <x:c r="R268" s="44"/>
      <x:c r="S268" s="47" t="str">
        <x:f>IF(COUNTA($H268:$R268)=0,"Pending",IF(AND($A268&lt;&gt;"",$B268&lt;&gt;"",$C268&lt;&gt;"",$D268&lt;&gt;"",$E268&lt;&gt;"",$F268&lt;&gt;"",ISNUMBER($G268),$G268&gt;=1,ISNUMBER($H268),MOD($H268,1)=0,$H268&gt;=1,$H268&lt;=5,ISNUMBER($J268),MOD($J268,1)=0,$J268&gt;=1,$J268&lt;=5,ISNUMBER($L268),MOD($L268,1)=0,$L268&gt;=1,$L268&lt;=5,ISNUMBER($N268),$N268&gt;=0,$O268="",$P268&lt;&gt;"",$Q268&lt;&gt;"",$R268="runner_monotonic_complete"),"ScorableComplete",IF(AND($A268&lt;&gt;"",$B268&lt;&gt;"",$C268&lt;&gt;"",$D268&lt;&gt;"",$E268&lt;&gt;"",$F268&lt;&gt;"",ISNUMBER($G268),$G268&gt;=1,OR($O268="insufficient_source_evidence",$O268="operational_failure"),$H268="",$J268="",$L268="",$N268="",$Q268&lt;&gt;"",$R268="runner_monotonic_not_scorable"),"NotScorable","Partial")))</x:f>
        <x:v>Pending</x:v>
      </x:c>
    </x:row>
    <x:row r="269">
      <x:c r="A269" s="44"/>
      <x:c r="B269" s="44"/>
      <x:c r="C269" s="44"/>
      <x:c r="D269" s="44"/>
      <x:c r="E269" s="44"/>
      <x:c r="F269" s="44"/>
      <x:c r="G269" s="44"/>
      <x:c r="H269" s="44"/>
      <x:c r="I269" s="44"/>
      <x:c r="J269" s="44"/>
      <x:c r="K269" s="44"/>
      <x:c r="L269" s="44"/>
      <x:c r="M269" s="44"/>
      <x:c r="N269" s="50"/>
      <x:c r="O269" s="44"/>
      <x:c r="P269" s="53"/>
      <x:c r="Q269" s="53"/>
      <x:c r="R269" s="44"/>
      <x:c r="S269" s="47" t="str">
        <x:f>IF(COUNTA($H269:$R269)=0,"Pending",IF(AND($A269&lt;&gt;"",$B269&lt;&gt;"",$C269&lt;&gt;"",$D269&lt;&gt;"",$E269&lt;&gt;"",$F269&lt;&gt;"",ISNUMBER($G269),$G269&gt;=1,ISNUMBER($H269),MOD($H269,1)=0,$H269&gt;=1,$H269&lt;=5,ISNUMBER($J269),MOD($J269,1)=0,$J269&gt;=1,$J269&lt;=5,ISNUMBER($L269),MOD($L269,1)=0,$L269&gt;=1,$L269&lt;=5,ISNUMBER($N269),$N269&gt;=0,$O269="",$P269&lt;&gt;"",$Q269&lt;&gt;"",$R269="runner_monotonic_complete"),"ScorableComplete",IF(AND($A269&lt;&gt;"",$B269&lt;&gt;"",$C269&lt;&gt;"",$D269&lt;&gt;"",$E269&lt;&gt;"",$F269&lt;&gt;"",ISNUMBER($G269),$G269&gt;=1,OR($O269="insufficient_source_evidence",$O269="operational_failure"),$H269="",$J269="",$L269="",$N269="",$Q269&lt;&gt;"",$R269="runner_monotonic_not_scorable"),"NotScorable","Partial")))</x:f>
        <x:v>Pending</x:v>
      </x:c>
    </x:row>
    <x:row r="270">
      <x:c r="A270" s="44"/>
      <x:c r="B270" s="44"/>
      <x:c r="C270" s="44"/>
      <x:c r="D270" s="44"/>
      <x:c r="E270" s="44"/>
      <x:c r="F270" s="44"/>
      <x:c r="G270" s="44"/>
      <x:c r="H270" s="44"/>
      <x:c r="I270" s="44"/>
      <x:c r="J270" s="44"/>
      <x:c r="K270" s="44"/>
      <x:c r="L270" s="44"/>
      <x:c r="M270" s="44"/>
      <x:c r="N270" s="50"/>
      <x:c r="O270" s="44"/>
      <x:c r="P270" s="53"/>
      <x:c r="Q270" s="53"/>
      <x:c r="R270" s="44"/>
      <x:c r="S270" s="47" t="str">
        <x:f>IF(COUNTA($H270:$R270)=0,"Pending",IF(AND($A270&lt;&gt;"",$B270&lt;&gt;"",$C270&lt;&gt;"",$D270&lt;&gt;"",$E270&lt;&gt;"",$F270&lt;&gt;"",ISNUMBER($G270),$G270&gt;=1,ISNUMBER($H270),MOD($H270,1)=0,$H270&gt;=1,$H270&lt;=5,ISNUMBER($J270),MOD($J270,1)=0,$J270&gt;=1,$J270&lt;=5,ISNUMBER($L270),MOD($L270,1)=0,$L270&gt;=1,$L270&lt;=5,ISNUMBER($N270),$N270&gt;=0,$O270="",$P270&lt;&gt;"",$Q270&lt;&gt;"",$R270="runner_monotonic_complete"),"ScorableComplete",IF(AND($A270&lt;&gt;"",$B270&lt;&gt;"",$C270&lt;&gt;"",$D270&lt;&gt;"",$E270&lt;&gt;"",$F270&lt;&gt;"",ISNUMBER($G270),$G270&gt;=1,OR($O270="insufficient_source_evidence",$O270="operational_failure"),$H270="",$J270="",$L270="",$N270="",$Q270&lt;&gt;"",$R270="runner_monotonic_not_scorable"),"NotScorable","Partial")))</x:f>
        <x:v>Pending</x:v>
      </x:c>
    </x:row>
    <x:row r="271">
      <x:c r="A271" s="44"/>
      <x:c r="B271" s="44"/>
      <x:c r="C271" s="44"/>
      <x:c r="D271" s="44"/>
      <x:c r="E271" s="44"/>
      <x:c r="F271" s="44"/>
      <x:c r="G271" s="44"/>
      <x:c r="H271" s="44"/>
      <x:c r="I271" s="44"/>
      <x:c r="J271" s="44"/>
      <x:c r="K271" s="44"/>
      <x:c r="L271" s="44"/>
      <x:c r="M271" s="44"/>
      <x:c r="N271" s="50"/>
      <x:c r="O271" s="44"/>
      <x:c r="P271" s="53"/>
      <x:c r="Q271" s="53"/>
      <x:c r="R271" s="44"/>
      <x:c r="S271" s="47" t="str">
        <x:f>IF(COUNTA($H271:$R271)=0,"Pending",IF(AND($A271&lt;&gt;"",$B271&lt;&gt;"",$C271&lt;&gt;"",$D271&lt;&gt;"",$E271&lt;&gt;"",$F271&lt;&gt;"",ISNUMBER($G271),$G271&gt;=1,ISNUMBER($H271),MOD($H271,1)=0,$H271&gt;=1,$H271&lt;=5,ISNUMBER($J271),MOD($J271,1)=0,$J271&gt;=1,$J271&lt;=5,ISNUMBER($L271),MOD($L271,1)=0,$L271&gt;=1,$L271&lt;=5,ISNUMBER($N271),$N271&gt;=0,$O271="",$P271&lt;&gt;"",$Q271&lt;&gt;"",$R271="runner_monotonic_complete"),"ScorableComplete",IF(AND($A271&lt;&gt;"",$B271&lt;&gt;"",$C271&lt;&gt;"",$D271&lt;&gt;"",$E271&lt;&gt;"",$F271&lt;&gt;"",ISNUMBER($G271),$G271&gt;=1,OR($O271="insufficient_source_evidence",$O271="operational_failure"),$H271="",$J271="",$L271="",$N271="",$Q271&lt;&gt;"",$R271="runner_monotonic_not_scorable"),"NotScorable","Partial")))</x:f>
        <x:v>Pending</x:v>
      </x:c>
    </x:row>
    <x:row r="272">
      <x:c r="A272" s="44"/>
      <x:c r="B272" s="44"/>
      <x:c r="C272" s="44"/>
      <x:c r="D272" s="44"/>
      <x:c r="E272" s="44"/>
      <x:c r="F272" s="44"/>
      <x:c r="G272" s="44"/>
      <x:c r="H272" s="44"/>
      <x:c r="I272" s="44"/>
      <x:c r="J272" s="44"/>
      <x:c r="K272" s="44"/>
      <x:c r="L272" s="44"/>
      <x:c r="M272" s="44"/>
      <x:c r="N272" s="50"/>
      <x:c r="O272" s="44"/>
      <x:c r="P272" s="53"/>
      <x:c r="Q272" s="53"/>
      <x:c r="R272" s="44"/>
      <x:c r="S272" s="47" t="str">
        <x:f>IF(COUNTA($H272:$R272)=0,"Pending",IF(AND($A272&lt;&gt;"",$B272&lt;&gt;"",$C272&lt;&gt;"",$D272&lt;&gt;"",$E272&lt;&gt;"",$F272&lt;&gt;"",ISNUMBER($G272),$G272&gt;=1,ISNUMBER($H272),MOD($H272,1)=0,$H272&gt;=1,$H272&lt;=5,ISNUMBER($J272),MOD($J272,1)=0,$J272&gt;=1,$J272&lt;=5,ISNUMBER($L272),MOD($L272,1)=0,$L272&gt;=1,$L272&lt;=5,ISNUMBER($N272),$N272&gt;=0,$O272="",$P272&lt;&gt;"",$Q272&lt;&gt;"",$R272="runner_monotonic_complete"),"ScorableComplete",IF(AND($A272&lt;&gt;"",$B272&lt;&gt;"",$C272&lt;&gt;"",$D272&lt;&gt;"",$E272&lt;&gt;"",$F272&lt;&gt;"",ISNUMBER($G272),$G272&gt;=1,OR($O272="insufficient_source_evidence",$O272="operational_failure"),$H272="",$J272="",$L272="",$N272="",$Q272&lt;&gt;"",$R272="runner_monotonic_not_scorable"),"NotScorable","Partial")))</x:f>
        <x:v>Pending</x:v>
      </x:c>
    </x:row>
    <x:row r="273">
      <x:c r="A273" s="44"/>
      <x:c r="B273" s="44"/>
      <x:c r="C273" s="44"/>
      <x:c r="D273" s="44"/>
      <x:c r="E273" s="44"/>
      <x:c r="F273" s="44"/>
      <x:c r="G273" s="44"/>
      <x:c r="H273" s="44"/>
      <x:c r="I273" s="44"/>
      <x:c r="J273" s="44"/>
      <x:c r="K273" s="44"/>
      <x:c r="L273" s="44"/>
      <x:c r="M273" s="44"/>
      <x:c r="N273" s="50"/>
      <x:c r="O273" s="44"/>
      <x:c r="P273" s="53"/>
      <x:c r="Q273" s="53"/>
      <x:c r="R273" s="44"/>
      <x:c r="S273" s="47" t="str">
        <x:f>IF(COUNTA($H273:$R273)=0,"Pending",IF(AND($A273&lt;&gt;"",$B273&lt;&gt;"",$C273&lt;&gt;"",$D273&lt;&gt;"",$E273&lt;&gt;"",$F273&lt;&gt;"",ISNUMBER($G273),$G273&gt;=1,ISNUMBER($H273),MOD($H273,1)=0,$H273&gt;=1,$H273&lt;=5,ISNUMBER($J273),MOD($J273,1)=0,$J273&gt;=1,$J273&lt;=5,ISNUMBER($L273),MOD($L273,1)=0,$L273&gt;=1,$L273&lt;=5,ISNUMBER($N273),$N273&gt;=0,$O273="",$P273&lt;&gt;"",$Q273&lt;&gt;"",$R273="runner_monotonic_complete"),"ScorableComplete",IF(AND($A273&lt;&gt;"",$B273&lt;&gt;"",$C273&lt;&gt;"",$D273&lt;&gt;"",$E273&lt;&gt;"",$F273&lt;&gt;"",ISNUMBER($G273),$G273&gt;=1,OR($O273="insufficient_source_evidence",$O273="operational_failure"),$H273="",$J273="",$L273="",$N273="",$Q273&lt;&gt;"",$R273="runner_monotonic_not_scorable"),"NotScorable","Partial")))</x:f>
        <x:v>Pending</x:v>
      </x:c>
    </x:row>
    <x:row r="274">
      <x:c r="A274" s="44"/>
      <x:c r="B274" s="44"/>
      <x:c r="C274" s="44"/>
      <x:c r="D274" s="44"/>
      <x:c r="E274" s="44"/>
      <x:c r="F274" s="44"/>
      <x:c r="G274" s="44"/>
      <x:c r="H274" s="44"/>
      <x:c r="I274" s="44"/>
      <x:c r="J274" s="44"/>
      <x:c r="K274" s="44"/>
      <x:c r="L274" s="44"/>
      <x:c r="M274" s="44"/>
      <x:c r="N274" s="50"/>
      <x:c r="O274" s="44"/>
      <x:c r="P274" s="53"/>
      <x:c r="Q274" s="53"/>
      <x:c r="R274" s="44"/>
      <x:c r="S274" s="47" t="str">
        <x:f>IF(COUNTA($H274:$R274)=0,"Pending",IF(AND($A274&lt;&gt;"",$B274&lt;&gt;"",$C274&lt;&gt;"",$D274&lt;&gt;"",$E274&lt;&gt;"",$F274&lt;&gt;"",ISNUMBER($G274),$G274&gt;=1,ISNUMBER($H274),MOD($H274,1)=0,$H274&gt;=1,$H274&lt;=5,ISNUMBER($J274),MOD($J274,1)=0,$J274&gt;=1,$J274&lt;=5,ISNUMBER($L274),MOD($L274,1)=0,$L274&gt;=1,$L274&lt;=5,ISNUMBER($N274),$N274&gt;=0,$O274="",$P274&lt;&gt;"",$Q274&lt;&gt;"",$R274="runner_monotonic_complete"),"ScorableComplete",IF(AND($A274&lt;&gt;"",$B274&lt;&gt;"",$C274&lt;&gt;"",$D274&lt;&gt;"",$E274&lt;&gt;"",$F274&lt;&gt;"",ISNUMBER($G274),$G274&gt;=1,OR($O274="insufficient_source_evidence",$O274="operational_failure"),$H274="",$J274="",$L274="",$N274="",$Q274&lt;&gt;"",$R274="runner_monotonic_not_scorable"),"NotScorable","Partial")))</x:f>
        <x:v>Pending</x:v>
      </x:c>
    </x:row>
    <x:row r="275">
      <x:c r="A275" s="44"/>
      <x:c r="B275" s="44"/>
      <x:c r="C275" s="44"/>
      <x:c r="D275" s="44"/>
      <x:c r="E275" s="44"/>
      <x:c r="F275" s="44"/>
      <x:c r="G275" s="44"/>
      <x:c r="H275" s="44"/>
      <x:c r="I275" s="44"/>
      <x:c r="J275" s="44"/>
      <x:c r="K275" s="44"/>
      <x:c r="L275" s="44"/>
      <x:c r="M275" s="44"/>
      <x:c r="N275" s="50"/>
      <x:c r="O275" s="44"/>
      <x:c r="P275" s="53"/>
      <x:c r="Q275" s="53"/>
      <x:c r="R275" s="44"/>
      <x:c r="S275" s="47" t="str">
        <x:f>IF(COUNTA($H275:$R275)=0,"Pending",IF(AND($A275&lt;&gt;"",$B275&lt;&gt;"",$C275&lt;&gt;"",$D275&lt;&gt;"",$E275&lt;&gt;"",$F275&lt;&gt;"",ISNUMBER($G275),$G275&gt;=1,ISNUMBER($H275),MOD($H275,1)=0,$H275&gt;=1,$H275&lt;=5,ISNUMBER($J275),MOD($J275,1)=0,$J275&gt;=1,$J275&lt;=5,ISNUMBER($L275),MOD($L275,1)=0,$L275&gt;=1,$L275&lt;=5,ISNUMBER($N275),$N275&gt;=0,$O275="",$P275&lt;&gt;"",$Q275&lt;&gt;"",$R275="runner_monotonic_complete"),"ScorableComplete",IF(AND($A275&lt;&gt;"",$B275&lt;&gt;"",$C275&lt;&gt;"",$D275&lt;&gt;"",$E275&lt;&gt;"",$F275&lt;&gt;"",ISNUMBER($G275),$G275&gt;=1,OR($O275="insufficient_source_evidence",$O275="operational_failure"),$H275="",$J275="",$L275="",$N275="",$Q275&lt;&gt;"",$R275="runner_monotonic_not_scorable"),"NotScorable","Partial")))</x:f>
        <x:v>Pending</x:v>
      </x:c>
    </x:row>
    <x:row r="276">
      <x:c r="A276" s="44"/>
      <x:c r="B276" s="44"/>
      <x:c r="C276" s="44"/>
      <x:c r="D276" s="44"/>
      <x:c r="E276" s="44"/>
      <x:c r="F276" s="44"/>
      <x:c r="G276" s="44"/>
      <x:c r="H276" s="44"/>
      <x:c r="I276" s="44"/>
      <x:c r="J276" s="44"/>
      <x:c r="K276" s="44"/>
      <x:c r="L276" s="44"/>
      <x:c r="M276" s="44"/>
      <x:c r="N276" s="50"/>
      <x:c r="O276" s="44"/>
      <x:c r="P276" s="53"/>
      <x:c r="Q276" s="53"/>
      <x:c r="R276" s="44"/>
      <x:c r="S276" s="47" t="str">
        <x:f>IF(COUNTA($H276:$R276)=0,"Pending",IF(AND($A276&lt;&gt;"",$B276&lt;&gt;"",$C276&lt;&gt;"",$D276&lt;&gt;"",$E276&lt;&gt;"",$F276&lt;&gt;"",ISNUMBER($G276),$G276&gt;=1,ISNUMBER($H276),MOD($H276,1)=0,$H276&gt;=1,$H276&lt;=5,ISNUMBER($J276),MOD($J276,1)=0,$J276&gt;=1,$J276&lt;=5,ISNUMBER($L276),MOD($L276,1)=0,$L276&gt;=1,$L276&lt;=5,ISNUMBER($N276),$N276&gt;=0,$O276="",$P276&lt;&gt;"",$Q276&lt;&gt;"",$R276="runner_monotonic_complete"),"ScorableComplete",IF(AND($A276&lt;&gt;"",$B276&lt;&gt;"",$C276&lt;&gt;"",$D276&lt;&gt;"",$E276&lt;&gt;"",$F276&lt;&gt;"",ISNUMBER($G276),$G276&gt;=1,OR($O276="insufficient_source_evidence",$O276="operational_failure"),$H276="",$J276="",$L276="",$N276="",$Q276&lt;&gt;"",$R276="runner_monotonic_not_scorable"),"NotScorable","Partial")))</x:f>
        <x:v>Pending</x:v>
      </x:c>
    </x:row>
    <x:row r="277">
      <x:c r="A277" s="44"/>
      <x:c r="B277" s="44"/>
      <x:c r="C277" s="44"/>
      <x:c r="D277" s="44"/>
      <x:c r="E277" s="44"/>
      <x:c r="F277" s="44"/>
      <x:c r="G277" s="44"/>
      <x:c r="H277" s="44"/>
      <x:c r="I277" s="44"/>
      <x:c r="J277" s="44"/>
      <x:c r="K277" s="44"/>
      <x:c r="L277" s="44"/>
      <x:c r="M277" s="44"/>
      <x:c r="N277" s="50"/>
      <x:c r="O277" s="44"/>
      <x:c r="P277" s="53"/>
      <x:c r="Q277" s="53"/>
      <x:c r="R277" s="44"/>
      <x:c r="S277" s="47" t="str">
        <x:f>IF(COUNTA($H277:$R277)=0,"Pending",IF(AND($A277&lt;&gt;"",$B277&lt;&gt;"",$C277&lt;&gt;"",$D277&lt;&gt;"",$E277&lt;&gt;"",$F277&lt;&gt;"",ISNUMBER($G277),$G277&gt;=1,ISNUMBER($H277),MOD($H277,1)=0,$H277&gt;=1,$H277&lt;=5,ISNUMBER($J277),MOD($J277,1)=0,$J277&gt;=1,$J277&lt;=5,ISNUMBER($L277),MOD($L277,1)=0,$L277&gt;=1,$L277&lt;=5,ISNUMBER($N277),$N277&gt;=0,$O277="",$P277&lt;&gt;"",$Q277&lt;&gt;"",$R277="runner_monotonic_complete"),"ScorableComplete",IF(AND($A277&lt;&gt;"",$B277&lt;&gt;"",$C277&lt;&gt;"",$D277&lt;&gt;"",$E277&lt;&gt;"",$F277&lt;&gt;"",ISNUMBER($G277),$G277&gt;=1,OR($O277="insufficient_source_evidence",$O277="operational_failure"),$H277="",$J277="",$L277="",$N277="",$Q277&lt;&gt;"",$R277="runner_monotonic_not_scorable"),"NotScorable","Partial")))</x:f>
        <x:v>Pending</x:v>
      </x:c>
    </x:row>
    <x:row r="278">
      <x:c r="A278" s="44"/>
      <x:c r="B278" s="44"/>
      <x:c r="C278" s="44"/>
      <x:c r="D278" s="44"/>
      <x:c r="E278" s="44"/>
      <x:c r="F278" s="44"/>
      <x:c r="G278" s="44"/>
      <x:c r="H278" s="44"/>
      <x:c r="I278" s="44"/>
      <x:c r="J278" s="44"/>
      <x:c r="K278" s="44"/>
      <x:c r="L278" s="44"/>
      <x:c r="M278" s="44"/>
      <x:c r="N278" s="50"/>
      <x:c r="O278" s="44"/>
      <x:c r="P278" s="53"/>
      <x:c r="Q278" s="53"/>
      <x:c r="R278" s="44"/>
      <x:c r="S278" s="47" t="str">
        <x:f>IF(COUNTA($H278:$R278)=0,"Pending",IF(AND($A278&lt;&gt;"",$B278&lt;&gt;"",$C278&lt;&gt;"",$D278&lt;&gt;"",$E278&lt;&gt;"",$F278&lt;&gt;"",ISNUMBER($G278),$G278&gt;=1,ISNUMBER($H278),MOD($H278,1)=0,$H278&gt;=1,$H278&lt;=5,ISNUMBER($J278),MOD($J278,1)=0,$J278&gt;=1,$J278&lt;=5,ISNUMBER($L278),MOD($L278,1)=0,$L278&gt;=1,$L278&lt;=5,ISNUMBER($N278),$N278&gt;=0,$O278="",$P278&lt;&gt;"",$Q278&lt;&gt;"",$R278="runner_monotonic_complete"),"ScorableComplete",IF(AND($A278&lt;&gt;"",$B278&lt;&gt;"",$C278&lt;&gt;"",$D278&lt;&gt;"",$E278&lt;&gt;"",$F278&lt;&gt;"",ISNUMBER($G278),$G278&gt;=1,OR($O278="insufficient_source_evidence",$O278="operational_failure"),$H278="",$J278="",$L278="",$N278="",$Q278&lt;&gt;"",$R278="runner_monotonic_not_scorable"),"NotScorable","Partial")))</x:f>
        <x:v>Pending</x:v>
      </x:c>
    </x:row>
    <x:row r="279">
      <x:c r="A279" s="44"/>
      <x:c r="B279" s="44"/>
      <x:c r="C279" s="44"/>
      <x:c r="D279" s="44"/>
      <x:c r="E279" s="44"/>
      <x:c r="F279" s="44"/>
      <x:c r="G279" s="44"/>
      <x:c r="H279" s="44"/>
      <x:c r="I279" s="44"/>
      <x:c r="J279" s="44"/>
      <x:c r="K279" s="44"/>
      <x:c r="L279" s="44"/>
      <x:c r="M279" s="44"/>
      <x:c r="N279" s="50"/>
      <x:c r="O279" s="44"/>
      <x:c r="P279" s="53"/>
      <x:c r="Q279" s="53"/>
      <x:c r="R279" s="44"/>
      <x:c r="S279" s="47" t="str">
        <x:f>IF(COUNTA($H279:$R279)=0,"Pending",IF(AND($A279&lt;&gt;"",$B279&lt;&gt;"",$C279&lt;&gt;"",$D279&lt;&gt;"",$E279&lt;&gt;"",$F279&lt;&gt;"",ISNUMBER($G279),$G279&gt;=1,ISNUMBER($H279),MOD($H279,1)=0,$H279&gt;=1,$H279&lt;=5,ISNUMBER($J279),MOD($J279,1)=0,$J279&gt;=1,$J279&lt;=5,ISNUMBER($L279),MOD($L279,1)=0,$L279&gt;=1,$L279&lt;=5,ISNUMBER($N279),$N279&gt;=0,$O279="",$P279&lt;&gt;"",$Q279&lt;&gt;"",$R279="runner_monotonic_complete"),"ScorableComplete",IF(AND($A279&lt;&gt;"",$B279&lt;&gt;"",$C279&lt;&gt;"",$D279&lt;&gt;"",$E279&lt;&gt;"",$F279&lt;&gt;"",ISNUMBER($G279),$G279&gt;=1,OR($O279="insufficient_source_evidence",$O279="operational_failure"),$H279="",$J279="",$L279="",$N279="",$Q279&lt;&gt;"",$R279="runner_monotonic_not_scorable"),"NotScorable","Partial")))</x:f>
        <x:v>Pending</x:v>
      </x:c>
    </x:row>
    <x:row r="280">
      <x:c r="A280" s="44"/>
      <x:c r="B280" s="44"/>
      <x:c r="C280" s="44"/>
      <x:c r="D280" s="44"/>
      <x:c r="E280" s="44"/>
      <x:c r="F280" s="44"/>
      <x:c r="G280" s="44"/>
      <x:c r="H280" s="44"/>
      <x:c r="I280" s="44"/>
      <x:c r="J280" s="44"/>
      <x:c r="K280" s="44"/>
      <x:c r="L280" s="44"/>
      <x:c r="M280" s="44"/>
      <x:c r="N280" s="50"/>
      <x:c r="O280" s="44"/>
      <x:c r="P280" s="53"/>
      <x:c r="Q280" s="53"/>
      <x:c r="R280" s="44"/>
      <x:c r="S280" s="47" t="str">
        <x:f>IF(COUNTA($H280:$R280)=0,"Pending",IF(AND($A280&lt;&gt;"",$B280&lt;&gt;"",$C280&lt;&gt;"",$D280&lt;&gt;"",$E280&lt;&gt;"",$F280&lt;&gt;"",ISNUMBER($G280),$G280&gt;=1,ISNUMBER($H280),MOD($H280,1)=0,$H280&gt;=1,$H280&lt;=5,ISNUMBER($J280),MOD($J280,1)=0,$J280&gt;=1,$J280&lt;=5,ISNUMBER($L280),MOD($L280,1)=0,$L280&gt;=1,$L280&lt;=5,ISNUMBER($N280),$N280&gt;=0,$O280="",$P280&lt;&gt;"",$Q280&lt;&gt;"",$R280="runner_monotonic_complete"),"ScorableComplete",IF(AND($A280&lt;&gt;"",$B280&lt;&gt;"",$C280&lt;&gt;"",$D280&lt;&gt;"",$E280&lt;&gt;"",$F280&lt;&gt;"",ISNUMBER($G280),$G280&gt;=1,OR($O280="insufficient_source_evidence",$O280="operational_failure"),$H280="",$J280="",$L280="",$N280="",$Q280&lt;&gt;"",$R280="runner_monotonic_not_scorable"),"NotScorable","Partial")))</x:f>
        <x:v>Pending</x:v>
      </x:c>
    </x:row>
    <x:row r="281">
      <x:c r="A281" s="44"/>
      <x:c r="B281" s="44"/>
      <x:c r="C281" s="44"/>
      <x:c r="D281" s="44"/>
      <x:c r="E281" s="44"/>
      <x:c r="F281" s="44"/>
      <x:c r="G281" s="44"/>
      <x:c r="H281" s="44"/>
      <x:c r="I281" s="44"/>
      <x:c r="J281" s="44"/>
      <x:c r="K281" s="44"/>
      <x:c r="L281" s="44"/>
      <x:c r="M281" s="44"/>
      <x:c r="N281" s="50"/>
      <x:c r="O281" s="44"/>
      <x:c r="P281" s="53"/>
      <x:c r="Q281" s="53"/>
      <x:c r="R281" s="44"/>
      <x:c r="S281" s="47" t="str">
        <x:f>IF(COUNTA($H281:$R281)=0,"Pending",IF(AND($A281&lt;&gt;"",$B281&lt;&gt;"",$C281&lt;&gt;"",$D281&lt;&gt;"",$E281&lt;&gt;"",$F281&lt;&gt;"",ISNUMBER($G281),$G281&gt;=1,ISNUMBER($H281),MOD($H281,1)=0,$H281&gt;=1,$H281&lt;=5,ISNUMBER($J281),MOD($J281,1)=0,$J281&gt;=1,$J281&lt;=5,ISNUMBER($L281),MOD($L281,1)=0,$L281&gt;=1,$L281&lt;=5,ISNUMBER($N281),$N281&gt;=0,$O281="",$P281&lt;&gt;"",$Q281&lt;&gt;"",$R281="runner_monotonic_complete"),"ScorableComplete",IF(AND($A281&lt;&gt;"",$B281&lt;&gt;"",$C281&lt;&gt;"",$D281&lt;&gt;"",$E281&lt;&gt;"",$F281&lt;&gt;"",ISNUMBER($G281),$G281&gt;=1,OR($O281="insufficient_source_evidence",$O281="operational_failure"),$H281="",$J281="",$L281="",$N281="",$Q281&lt;&gt;"",$R281="runner_monotonic_not_scorable"),"NotScorable","Partial")))</x:f>
        <x:v>Pending</x:v>
      </x:c>
    </x:row>
    <x:row r="282">
      <x:c r="A282" s="44"/>
      <x:c r="B282" s="44"/>
      <x:c r="C282" s="44"/>
      <x:c r="D282" s="44"/>
      <x:c r="E282" s="44"/>
      <x:c r="F282" s="44"/>
      <x:c r="G282" s="44"/>
      <x:c r="H282" s="44"/>
      <x:c r="I282" s="44"/>
      <x:c r="J282" s="44"/>
      <x:c r="K282" s="44"/>
      <x:c r="L282" s="44"/>
      <x:c r="M282" s="44"/>
      <x:c r="N282" s="50"/>
      <x:c r="O282" s="44"/>
      <x:c r="P282" s="53"/>
      <x:c r="Q282" s="53"/>
      <x:c r="R282" s="44"/>
      <x:c r="S282" s="47" t="str">
        <x:f>IF(COUNTA($H282:$R282)=0,"Pending",IF(AND($A282&lt;&gt;"",$B282&lt;&gt;"",$C282&lt;&gt;"",$D282&lt;&gt;"",$E282&lt;&gt;"",$F282&lt;&gt;"",ISNUMBER($G282),$G282&gt;=1,ISNUMBER($H282),MOD($H282,1)=0,$H282&gt;=1,$H282&lt;=5,ISNUMBER($J282),MOD($J282,1)=0,$J282&gt;=1,$J282&lt;=5,ISNUMBER($L282),MOD($L282,1)=0,$L282&gt;=1,$L282&lt;=5,ISNUMBER($N282),$N282&gt;=0,$O282="",$P282&lt;&gt;"",$Q282&lt;&gt;"",$R282="runner_monotonic_complete"),"ScorableComplete",IF(AND($A282&lt;&gt;"",$B282&lt;&gt;"",$C282&lt;&gt;"",$D282&lt;&gt;"",$E282&lt;&gt;"",$F282&lt;&gt;"",ISNUMBER($G282),$G282&gt;=1,OR($O282="insufficient_source_evidence",$O282="operational_failure"),$H282="",$J282="",$L282="",$N282="",$Q282&lt;&gt;"",$R282="runner_monotonic_not_scorable"),"NotScorable","Partial")))</x:f>
        <x:v>Pending</x:v>
      </x:c>
    </x:row>
    <x:row r="283">
      <x:c r="A283" s="44"/>
      <x:c r="B283" s="44"/>
      <x:c r="C283" s="44"/>
      <x:c r="D283" s="44"/>
      <x:c r="E283" s="44"/>
      <x:c r="F283" s="44"/>
      <x:c r="G283" s="44"/>
      <x:c r="H283" s="44"/>
      <x:c r="I283" s="44"/>
      <x:c r="J283" s="44"/>
      <x:c r="K283" s="44"/>
      <x:c r="L283" s="44"/>
      <x:c r="M283" s="44"/>
      <x:c r="N283" s="50"/>
      <x:c r="O283" s="44"/>
      <x:c r="P283" s="53"/>
      <x:c r="Q283" s="53"/>
      <x:c r="R283" s="44"/>
      <x:c r="S283" s="47" t="str">
        <x:f>IF(COUNTA($H283:$R283)=0,"Pending",IF(AND($A283&lt;&gt;"",$B283&lt;&gt;"",$C283&lt;&gt;"",$D283&lt;&gt;"",$E283&lt;&gt;"",$F283&lt;&gt;"",ISNUMBER($G283),$G283&gt;=1,ISNUMBER($H283),MOD($H283,1)=0,$H283&gt;=1,$H283&lt;=5,ISNUMBER($J283),MOD($J283,1)=0,$J283&gt;=1,$J283&lt;=5,ISNUMBER($L283),MOD($L283,1)=0,$L283&gt;=1,$L283&lt;=5,ISNUMBER($N283),$N283&gt;=0,$O283="",$P283&lt;&gt;"",$Q283&lt;&gt;"",$R283="runner_monotonic_complete"),"ScorableComplete",IF(AND($A283&lt;&gt;"",$B283&lt;&gt;"",$C283&lt;&gt;"",$D283&lt;&gt;"",$E283&lt;&gt;"",$F283&lt;&gt;"",ISNUMBER($G283),$G283&gt;=1,OR($O283="insufficient_source_evidence",$O283="operational_failure"),$H283="",$J283="",$L283="",$N283="",$Q283&lt;&gt;"",$R283="runner_monotonic_not_scorable"),"NotScorable","Partial")))</x:f>
        <x:v>Pending</x:v>
      </x:c>
    </x:row>
    <x:row r="284">
      <x:c r="A284" s="44"/>
      <x:c r="B284" s="44"/>
      <x:c r="C284" s="44"/>
      <x:c r="D284" s="44"/>
      <x:c r="E284" s="44"/>
      <x:c r="F284" s="44"/>
      <x:c r="G284" s="44"/>
      <x:c r="H284" s="44"/>
      <x:c r="I284" s="44"/>
      <x:c r="J284" s="44"/>
      <x:c r="K284" s="44"/>
      <x:c r="L284" s="44"/>
      <x:c r="M284" s="44"/>
      <x:c r="N284" s="50"/>
      <x:c r="O284" s="44"/>
      <x:c r="P284" s="53"/>
      <x:c r="Q284" s="53"/>
      <x:c r="R284" s="44"/>
      <x:c r="S284" s="47" t="str">
        <x:f>IF(COUNTA($H284:$R284)=0,"Pending",IF(AND($A284&lt;&gt;"",$B284&lt;&gt;"",$C284&lt;&gt;"",$D284&lt;&gt;"",$E284&lt;&gt;"",$F284&lt;&gt;"",ISNUMBER($G284),$G284&gt;=1,ISNUMBER($H284),MOD($H284,1)=0,$H284&gt;=1,$H284&lt;=5,ISNUMBER($J284),MOD($J284,1)=0,$J284&gt;=1,$J284&lt;=5,ISNUMBER($L284),MOD($L284,1)=0,$L284&gt;=1,$L284&lt;=5,ISNUMBER($N284),$N284&gt;=0,$O284="",$P284&lt;&gt;"",$Q284&lt;&gt;"",$R284="runner_monotonic_complete"),"ScorableComplete",IF(AND($A284&lt;&gt;"",$B284&lt;&gt;"",$C284&lt;&gt;"",$D284&lt;&gt;"",$E284&lt;&gt;"",$F284&lt;&gt;"",ISNUMBER($G284),$G284&gt;=1,OR($O284="insufficient_source_evidence",$O284="operational_failure"),$H284="",$J284="",$L284="",$N284="",$Q284&lt;&gt;"",$R284="runner_monotonic_not_scorable"),"NotScorable","Partial")))</x:f>
        <x:v>Pending</x:v>
      </x:c>
    </x:row>
    <x:row r="285">
      <x:c r="A285" s="44"/>
      <x:c r="B285" s="44"/>
      <x:c r="C285" s="44"/>
      <x:c r="D285" s="44"/>
      <x:c r="E285" s="44"/>
      <x:c r="F285" s="44"/>
      <x:c r="G285" s="44"/>
      <x:c r="H285" s="44"/>
      <x:c r="I285" s="44"/>
      <x:c r="J285" s="44"/>
      <x:c r="K285" s="44"/>
      <x:c r="L285" s="44"/>
      <x:c r="M285" s="44"/>
      <x:c r="N285" s="50"/>
      <x:c r="O285" s="44"/>
      <x:c r="P285" s="53"/>
      <x:c r="Q285" s="53"/>
      <x:c r="R285" s="44"/>
      <x:c r="S285" s="47" t="str">
        <x:f>IF(COUNTA($H285:$R285)=0,"Pending",IF(AND($A285&lt;&gt;"",$B285&lt;&gt;"",$C285&lt;&gt;"",$D285&lt;&gt;"",$E285&lt;&gt;"",$F285&lt;&gt;"",ISNUMBER($G285),$G285&gt;=1,ISNUMBER($H285),MOD($H285,1)=0,$H285&gt;=1,$H285&lt;=5,ISNUMBER($J285),MOD($J285,1)=0,$J285&gt;=1,$J285&lt;=5,ISNUMBER($L285),MOD($L285,1)=0,$L285&gt;=1,$L285&lt;=5,ISNUMBER($N285),$N285&gt;=0,$O285="",$P285&lt;&gt;"",$Q285&lt;&gt;"",$R285="runner_monotonic_complete"),"ScorableComplete",IF(AND($A285&lt;&gt;"",$B285&lt;&gt;"",$C285&lt;&gt;"",$D285&lt;&gt;"",$E285&lt;&gt;"",$F285&lt;&gt;"",ISNUMBER($G285),$G285&gt;=1,OR($O285="insufficient_source_evidence",$O285="operational_failure"),$H285="",$J285="",$L285="",$N285="",$Q285&lt;&gt;"",$R285="runner_monotonic_not_scorable"),"NotScorable","Partial")))</x:f>
        <x:v>Pending</x:v>
      </x:c>
    </x:row>
    <x:row r="286">
      <x:c r="A286" s="44"/>
      <x:c r="B286" s="44"/>
      <x:c r="C286" s="44"/>
      <x:c r="D286" s="44"/>
      <x:c r="E286" s="44"/>
      <x:c r="F286" s="44"/>
      <x:c r="G286" s="44"/>
      <x:c r="H286" s="44"/>
      <x:c r="I286" s="44"/>
      <x:c r="J286" s="44"/>
      <x:c r="K286" s="44"/>
      <x:c r="L286" s="44"/>
      <x:c r="M286" s="44"/>
      <x:c r="N286" s="50"/>
      <x:c r="O286" s="44"/>
      <x:c r="P286" s="53"/>
      <x:c r="Q286" s="53"/>
      <x:c r="R286" s="44"/>
      <x:c r="S286" s="47" t="str">
        <x:f>IF(COUNTA($H286:$R286)=0,"Pending",IF(AND($A286&lt;&gt;"",$B286&lt;&gt;"",$C286&lt;&gt;"",$D286&lt;&gt;"",$E286&lt;&gt;"",$F286&lt;&gt;"",ISNUMBER($G286),$G286&gt;=1,ISNUMBER($H286),MOD($H286,1)=0,$H286&gt;=1,$H286&lt;=5,ISNUMBER($J286),MOD($J286,1)=0,$J286&gt;=1,$J286&lt;=5,ISNUMBER($L286),MOD($L286,1)=0,$L286&gt;=1,$L286&lt;=5,ISNUMBER($N286),$N286&gt;=0,$O286="",$P286&lt;&gt;"",$Q286&lt;&gt;"",$R286="runner_monotonic_complete"),"ScorableComplete",IF(AND($A286&lt;&gt;"",$B286&lt;&gt;"",$C286&lt;&gt;"",$D286&lt;&gt;"",$E286&lt;&gt;"",$F286&lt;&gt;"",ISNUMBER($G286),$G286&gt;=1,OR($O286="insufficient_source_evidence",$O286="operational_failure"),$H286="",$J286="",$L286="",$N286="",$Q286&lt;&gt;"",$R286="runner_monotonic_not_scorable"),"NotScorable","Partial")))</x:f>
        <x:v>Pending</x:v>
      </x:c>
    </x:row>
    <x:row r="287">
      <x:c r="A287" s="44"/>
      <x:c r="B287" s="44"/>
      <x:c r="C287" s="44"/>
      <x:c r="D287" s="44"/>
      <x:c r="E287" s="44"/>
      <x:c r="F287" s="44"/>
      <x:c r="G287" s="44"/>
      <x:c r="H287" s="44"/>
      <x:c r="I287" s="44"/>
      <x:c r="J287" s="44"/>
      <x:c r="K287" s="44"/>
      <x:c r="L287" s="44"/>
      <x:c r="M287" s="44"/>
      <x:c r="N287" s="50"/>
      <x:c r="O287" s="44"/>
      <x:c r="P287" s="53"/>
      <x:c r="Q287" s="53"/>
      <x:c r="R287" s="44"/>
      <x:c r="S287" s="47" t="str">
        <x:f>IF(COUNTA($H287:$R287)=0,"Pending",IF(AND($A287&lt;&gt;"",$B287&lt;&gt;"",$C287&lt;&gt;"",$D287&lt;&gt;"",$E287&lt;&gt;"",$F287&lt;&gt;"",ISNUMBER($G287),$G287&gt;=1,ISNUMBER($H287),MOD($H287,1)=0,$H287&gt;=1,$H287&lt;=5,ISNUMBER($J287),MOD($J287,1)=0,$J287&gt;=1,$J287&lt;=5,ISNUMBER($L287),MOD($L287,1)=0,$L287&gt;=1,$L287&lt;=5,ISNUMBER($N287),$N287&gt;=0,$O287="",$P287&lt;&gt;"",$Q287&lt;&gt;"",$R287="runner_monotonic_complete"),"ScorableComplete",IF(AND($A287&lt;&gt;"",$B287&lt;&gt;"",$C287&lt;&gt;"",$D287&lt;&gt;"",$E287&lt;&gt;"",$F287&lt;&gt;"",ISNUMBER($G287),$G287&gt;=1,OR($O287="insufficient_source_evidence",$O287="operational_failure"),$H287="",$J287="",$L287="",$N287="",$Q287&lt;&gt;"",$R287="runner_monotonic_not_scorable"),"NotScorable","Partial")))</x:f>
        <x:v>Pending</x:v>
      </x:c>
    </x:row>
    <x:row r="288">
      <x:c r="A288" s="44"/>
      <x:c r="B288" s="44"/>
      <x:c r="C288" s="44"/>
      <x:c r="D288" s="44"/>
      <x:c r="E288" s="44"/>
      <x:c r="F288" s="44"/>
      <x:c r="G288" s="44"/>
      <x:c r="H288" s="44"/>
      <x:c r="I288" s="44"/>
      <x:c r="J288" s="44"/>
      <x:c r="K288" s="44"/>
      <x:c r="L288" s="44"/>
      <x:c r="M288" s="44"/>
      <x:c r="N288" s="50"/>
      <x:c r="O288" s="44"/>
      <x:c r="P288" s="53"/>
      <x:c r="Q288" s="53"/>
      <x:c r="R288" s="44"/>
      <x:c r="S288" s="47" t="str">
        <x:f>IF(COUNTA($H288:$R288)=0,"Pending",IF(AND($A288&lt;&gt;"",$B288&lt;&gt;"",$C288&lt;&gt;"",$D288&lt;&gt;"",$E288&lt;&gt;"",$F288&lt;&gt;"",ISNUMBER($G288),$G288&gt;=1,ISNUMBER($H288),MOD($H288,1)=0,$H288&gt;=1,$H288&lt;=5,ISNUMBER($J288),MOD($J288,1)=0,$J288&gt;=1,$J288&lt;=5,ISNUMBER($L288),MOD($L288,1)=0,$L288&gt;=1,$L288&lt;=5,ISNUMBER($N288),$N288&gt;=0,$O288="",$P288&lt;&gt;"",$Q288&lt;&gt;"",$R288="runner_monotonic_complete"),"ScorableComplete",IF(AND($A288&lt;&gt;"",$B288&lt;&gt;"",$C288&lt;&gt;"",$D288&lt;&gt;"",$E288&lt;&gt;"",$F288&lt;&gt;"",ISNUMBER($G288),$G288&gt;=1,OR($O288="insufficient_source_evidence",$O288="operational_failure"),$H288="",$J288="",$L288="",$N288="",$Q288&lt;&gt;"",$R288="runner_monotonic_not_scorable"),"NotScorable","Partial")))</x:f>
        <x:v>Pending</x:v>
      </x:c>
    </x:row>
    <x:row r="289">
      <x:c r="A289" s="44"/>
      <x:c r="B289" s="44"/>
      <x:c r="C289" s="44"/>
      <x:c r="D289" s="44"/>
      <x:c r="E289" s="44"/>
      <x:c r="F289" s="44"/>
      <x:c r="G289" s="44"/>
      <x:c r="H289" s="44"/>
      <x:c r="I289" s="44"/>
      <x:c r="J289" s="44"/>
      <x:c r="K289" s="44"/>
      <x:c r="L289" s="44"/>
      <x:c r="M289" s="44"/>
      <x:c r="N289" s="50"/>
      <x:c r="O289" s="44"/>
      <x:c r="P289" s="53"/>
      <x:c r="Q289" s="53"/>
      <x:c r="R289" s="44"/>
      <x:c r="S289" s="47" t="str">
        <x:f>IF(COUNTA($H289:$R289)=0,"Pending",IF(AND($A289&lt;&gt;"",$B289&lt;&gt;"",$C289&lt;&gt;"",$D289&lt;&gt;"",$E289&lt;&gt;"",$F289&lt;&gt;"",ISNUMBER($G289),$G289&gt;=1,ISNUMBER($H289),MOD($H289,1)=0,$H289&gt;=1,$H289&lt;=5,ISNUMBER($J289),MOD($J289,1)=0,$J289&gt;=1,$J289&lt;=5,ISNUMBER($L289),MOD($L289,1)=0,$L289&gt;=1,$L289&lt;=5,ISNUMBER($N289),$N289&gt;=0,$O289="",$P289&lt;&gt;"",$Q289&lt;&gt;"",$R289="runner_monotonic_complete"),"ScorableComplete",IF(AND($A289&lt;&gt;"",$B289&lt;&gt;"",$C289&lt;&gt;"",$D289&lt;&gt;"",$E289&lt;&gt;"",$F289&lt;&gt;"",ISNUMBER($G289),$G289&gt;=1,OR($O289="insufficient_source_evidence",$O289="operational_failure"),$H289="",$J289="",$L289="",$N289="",$Q289&lt;&gt;"",$R289="runner_monotonic_not_scorable"),"NotScorable","Partial")))</x:f>
        <x:v>Pending</x:v>
      </x:c>
    </x:row>
    <x:row r="290">
      <x:c r="A290" s="44"/>
      <x:c r="B290" s="44"/>
      <x:c r="C290" s="44"/>
      <x:c r="D290" s="44"/>
      <x:c r="E290" s="44"/>
      <x:c r="F290" s="44"/>
      <x:c r="G290" s="44"/>
      <x:c r="H290" s="44"/>
      <x:c r="I290" s="44"/>
      <x:c r="J290" s="44"/>
      <x:c r="K290" s="44"/>
      <x:c r="L290" s="44"/>
      <x:c r="M290" s="44"/>
      <x:c r="N290" s="50"/>
      <x:c r="O290" s="44"/>
      <x:c r="P290" s="53"/>
      <x:c r="Q290" s="53"/>
      <x:c r="R290" s="44"/>
      <x:c r="S290" s="47" t="str">
        <x:f>IF(COUNTA($H290:$R290)=0,"Pending",IF(AND($A290&lt;&gt;"",$B290&lt;&gt;"",$C290&lt;&gt;"",$D290&lt;&gt;"",$E290&lt;&gt;"",$F290&lt;&gt;"",ISNUMBER($G290),$G290&gt;=1,ISNUMBER($H290),MOD($H290,1)=0,$H290&gt;=1,$H290&lt;=5,ISNUMBER($J290),MOD($J290,1)=0,$J290&gt;=1,$J290&lt;=5,ISNUMBER($L290),MOD($L290,1)=0,$L290&gt;=1,$L290&lt;=5,ISNUMBER($N290),$N290&gt;=0,$O290="",$P290&lt;&gt;"",$Q290&lt;&gt;"",$R290="runner_monotonic_complete"),"ScorableComplete",IF(AND($A290&lt;&gt;"",$B290&lt;&gt;"",$C290&lt;&gt;"",$D290&lt;&gt;"",$E290&lt;&gt;"",$F290&lt;&gt;"",ISNUMBER($G290),$G290&gt;=1,OR($O290="insufficient_source_evidence",$O290="operational_failure"),$H290="",$J290="",$L290="",$N290="",$Q290&lt;&gt;"",$R290="runner_monotonic_not_scorable"),"NotScorable","Partial")))</x:f>
        <x:v>Pending</x:v>
      </x:c>
    </x:row>
    <x:row r="291">
      <x:c r="A291" s="44"/>
      <x:c r="B291" s="44"/>
      <x:c r="C291" s="44"/>
      <x:c r="D291" s="44"/>
      <x:c r="E291" s="44"/>
      <x:c r="F291" s="44"/>
      <x:c r="G291" s="44"/>
      <x:c r="H291" s="44"/>
      <x:c r="I291" s="44"/>
      <x:c r="J291" s="44"/>
      <x:c r="K291" s="44"/>
      <x:c r="L291" s="44"/>
      <x:c r="M291" s="44"/>
      <x:c r="N291" s="50"/>
      <x:c r="O291" s="44"/>
      <x:c r="P291" s="53"/>
      <x:c r="Q291" s="53"/>
      <x:c r="R291" s="44"/>
      <x:c r="S291" s="47" t="str">
        <x:f>IF(COUNTA($H291:$R291)=0,"Pending",IF(AND($A291&lt;&gt;"",$B291&lt;&gt;"",$C291&lt;&gt;"",$D291&lt;&gt;"",$E291&lt;&gt;"",$F291&lt;&gt;"",ISNUMBER($G291),$G291&gt;=1,ISNUMBER($H291),MOD($H291,1)=0,$H291&gt;=1,$H291&lt;=5,ISNUMBER($J291),MOD($J291,1)=0,$J291&gt;=1,$J291&lt;=5,ISNUMBER($L291),MOD($L291,1)=0,$L291&gt;=1,$L291&lt;=5,ISNUMBER($N291),$N291&gt;=0,$O291="",$P291&lt;&gt;"",$Q291&lt;&gt;"",$R291="runner_monotonic_complete"),"ScorableComplete",IF(AND($A291&lt;&gt;"",$B291&lt;&gt;"",$C291&lt;&gt;"",$D291&lt;&gt;"",$E291&lt;&gt;"",$F291&lt;&gt;"",ISNUMBER($G291),$G291&gt;=1,OR($O291="insufficient_source_evidence",$O291="operational_failure"),$H291="",$J291="",$L291="",$N291="",$Q291&lt;&gt;"",$R291="runner_monotonic_not_scorable"),"NotScorable","Partial")))</x:f>
        <x:v>Pending</x:v>
      </x:c>
    </x:row>
    <x:row r="292">
      <x:c r="A292" s="44"/>
      <x:c r="B292" s="44"/>
      <x:c r="C292" s="44"/>
      <x:c r="D292" s="44"/>
      <x:c r="E292" s="44"/>
      <x:c r="F292" s="44"/>
      <x:c r="G292" s="44"/>
      <x:c r="H292" s="44"/>
      <x:c r="I292" s="44"/>
      <x:c r="J292" s="44"/>
      <x:c r="K292" s="44"/>
      <x:c r="L292" s="44"/>
      <x:c r="M292" s="44"/>
      <x:c r="N292" s="50"/>
      <x:c r="O292" s="44"/>
      <x:c r="P292" s="53"/>
      <x:c r="Q292" s="53"/>
      <x:c r="R292" s="44"/>
      <x:c r="S292" s="47" t="str">
        <x:f>IF(COUNTA($H292:$R292)=0,"Pending",IF(AND($A292&lt;&gt;"",$B292&lt;&gt;"",$C292&lt;&gt;"",$D292&lt;&gt;"",$E292&lt;&gt;"",$F292&lt;&gt;"",ISNUMBER($G292),$G292&gt;=1,ISNUMBER($H292),MOD($H292,1)=0,$H292&gt;=1,$H292&lt;=5,ISNUMBER($J292),MOD($J292,1)=0,$J292&gt;=1,$J292&lt;=5,ISNUMBER($L292),MOD($L292,1)=0,$L292&gt;=1,$L292&lt;=5,ISNUMBER($N292),$N292&gt;=0,$O292="",$P292&lt;&gt;"",$Q292&lt;&gt;"",$R292="runner_monotonic_complete"),"ScorableComplete",IF(AND($A292&lt;&gt;"",$B292&lt;&gt;"",$C292&lt;&gt;"",$D292&lt;&gt;"",$E292&lt;&gt;"",$F292&lt;&gt;"",ISNUMBER($G292),$G292&gt;=1,OR($O292="insufficient_source_evidence",$O292="operational_failure"),$H292="",$J292="",$L292="",$N292="",$Q292&lt;&gt;"",$R292="runner_monotonic_not_scorable"),"NotScorable","Partial")))</x:f>
        <x:v>Pending</x:v>
      </x:c>
    </x:row>
    <x:row r="293">
      <x:c r="A293" s="44"/>
      <x:c r="B293" s="44"/>
      <x:c r="C293" s="44"/>
      <x:c r="D293" s="44"/>
      <x:c r="E293" s="44"/>
      <x:c r="F293" s="44"/>
      <x:c r="G293" s="44"/>
      <x:c r="H293" s="44"/>
      <x:c r="I293" s="44"/>
      <x:c r="J293" s="44"/>
      <x:c r="K293" s="44"/>
      <x:c r="L293" s="44"/>
      <x:c r="M293" s="44"/>
      <x:c r="N293" s="50"/>
      <x:c r="O293" s="44"/>
      <x:c r="P293" s="53"/>
      <x:c r="Q293" s="53"/>
      <x:c r="R293" s="44"/>
      <x:c r="S293" s="47" t="str">
        <x:f>IF(COUNTA($H293:$R293)=0,"Pending",IF(AND($A293&lt;&gt;"",$B293&lt;&gt;"",$C293&lt;&gt;"",$D293&lt;&gt;"",$E293&lt;&gt;"",$F293&lt;&gt;"",ISNUMBER($G293),$G293&gt;=1,ISNUMBER($H293),MOD($H293,1)=0,$H293&gt;=1,$H293&lt;=5,ISNUMBER($J293),MOD($J293,1)=0,$J293&gt;=1,$J293&lt;=5,ISNUMBER($L293),MOD($L293,1)=0,$L293&gt;=1,$L293&lt;=5,ISNUMBER($N293),$N293&gt;=0,$O293="",$P293&lt;&gt;"",$Q293&lt;&gt;"",$R293="runner_monotonic_complete"),"ScorableComplete",IF(AND($A293&lt;&gt;"",$B293&lt;&gt;"",$C293&lt;&gt;"",$D293&lt;&gt;"",$E293&lt;&gt;"",$F293&lt;&gt;"",ISNUMBER($G293),$G293&gt;=1,OR($O293="insufficient_source_evidence",$O293="operational_failure"),$H293="",$J293="",$L293="",$N293="",$Q293&lt;&gt;"",$R293="runner_monotonic_not_scorable"),"NotScorable","Partial")))</x:f>
        <x:v>Pending</x:v>
      </x:c>
    </x:row>
    <x:row r="294">
      <x:c r="A294" s="44"/>
      <x:c r="B294" s="44"/>
      <x:c r="C294" s="44"/>
      <x:c r="D294" s="44"/>
      <x:c r="E294" s="44"/>
      <x:c r="F294" s="44"/>
      <x:c r="G294" s="44"/>
      <x:c r="H294" s="44"/>
      <x:c r="I294" s="44"/>
      <x:c r="J294" s="44"/>
      <x:c r="K294" s="44"/>
      <x:c r="L294" s="44"/>
      <x:c r="M294" s="44"/>
      <x:c r="N294" s="50"/>
      <x:c r="O294" s="44"/>
      <x:c r="P294" s="53"/>
      <x:c r="Q294" s="53"/>
      <x:c r="R294" s="44"/>
      <x:c r="S294" s="47" t="str">
        <x:f>IF(COUNTA($H294:$R294)=0,"Pending",IF(AND($A294&lt;&gt;"",$B294&lt;&gt;"",$C294&lt;&gt;"",$D294&lt;&gt;"",$E294&lt;&gt;"",$F294&lt;&gt;"",ISNUMBER($G294),$G294&gt;=1,ISNUMBER($H294),MOD($H294,1)=0,$H294&gt;=1,$H294&lt;=5,ISNUMBER($J294),MOD($J294,1)=0,$J294&gt;=1,$J294&lt;=5,ISNUMBER($L294),MOD($L294,1)=0,$L294&gt;=1,$L294&lt;=5,ISNUMBER($N294),$N294&gt;=0,$O294="",$P294&lt;&gt;"",$Q294&lt;&gt;"",$R294="runner_monotonic_complete"),"ScorableComplete",IF(AND($A294&lt;&gt;"",$B294&lt;&gt;"",$C294&lt;&gt;"",$D294&lt;&gt;"",$E294&lt;&gt;"",$F294&lt;&gt;"",ISNUMBER($G294),$G294&gt;=1,OR($O294="insufficient_source_evidence",$O294="operational_failure"),$H294="",$J294="",$L294="",$N294="",$Q294&lt;&gt;"",$R294="runner_monotonic_not_scorable"),"NotScorable","Partial")))</x:f>
        <x:v>Pending</x:v>
      </x:c>
    </x:row>
    <x:row r="295">
      <x:c r="A295" s="44"/>
      <x:c r="B295" s="44"/>
      <x:c r="C295" s="44"/>
      <x:c r="D295" s="44"/>
      <x:c r="E295" s="44"/>
      <x:c r="F295" s="44"/>
      <x:c r="G295" s="44"/>
      <x:c r="H295" s="44"/>
      <x:c r="I295" s="44"/>
      <x:c r="J295" s="44"/>
      <x:c r="K295" s="44"/>
      <x:c r="L295" s="44"/>
      <x:c r="M295" s="44"/>
      <x:c r="N295" s="50"/>
      <x:c r="O295" s="44"/>
      <x:c r="P295" s="53"/>
      <x:c r="Q295" s="53"/>
      <x:c r="R295" s="44"/>
      <x:c r="S295" s="47" t="str">
        <x:f>IF(COUNTA($H295:$R295)=0,"Pending",IF(AND($A295&lt;&gt;"",$B295&lt;&gt;"",$C295&lt;&gt;"",$D295&lt;&gt;"",$E295&lt;&gt;"",$F295&lt;&gt;"",ISNUMBER($G295),$G295&gt;=1,ISNUMBER($H295),MOD($H295,1)=0,$H295&gt;=1,$H295&lt;=5,ISNUMBER($J295),MOD($J295,1)=0,$J295&gt;=1,$J295&lt;=5,ISNUMBER($L295),MOD($L295,1)=0,$L295&gt;=1,$L295&lt;=5,ISNUMBER($N295),$N295&gt;=0,$O295="",$P295&lt;&gt;"",$Q295&lt;&gt;"",$R295="runner_monotonic_complete"),"ScorableComplete",IF(AND($A295&lt;&gt;"",$B295&lt;&gt;"",$C295&lt;&gt;"",$D295&lt;&gt;"",$E295&lt;&gt;"",$F295&lt;&gt;"",ISNUMBER($G295),$G295&gt;=1,OR($O295="insufficient_source_evidence",$O295="operational_failure"),$H295="",$J295="",$L295="",$N295="",$Q295&lt;&gt;"",$R295="runner_monotonic_not_scorable"),"NotScorable","Partial")))</x:f>
        <x:v>Pending</x:v>
      </x:c>
    </x:row>
    <x:row r="296">
      <x:c r="A296" s="44"/>
      <x:c r="B296" s="44"/>
      <x:c r="C296" s="44"/>
      <x:c r="D296" s="44"/>
      <x:c r="E296" s="44"/>
      <x:c r="F296" s="44"/>
      <x:c r="G296" s="44"/>
      <x:c r="H296" s="44"/>
      <x:c r="I296" s="44"/>
      <x:c r="J296" s="44"/>
      <x:c r="K296" s="44"/>
      <x:c r="L296" s="44"/>
      <x:c r="M296" s="44"/>
      <x:c r="N296" s="50"/>
      <x:c r="O296" s="44"/>
      <x:c r="P296" s="53"/>
      <x:c r="Q296" s="53"/>
      <x:c r="R296" s="44"/>
      <x:c r="S296" s="47" t="str">
        <x:f>IF(COUNTA($H296:$R296)=0,"Pending",IF(AND($A296&lt;&gt;"",$B296&lt;&gt;"",$C296&lt;&gt;"",$D296&lt;&gt;"",$E296&lt;&gt;"",$F296&lt;&gt;"",ISNUMBER($G296),$G296&gt;=1,ISNUMBER($H296),MOD($H296,1)=0,$H296&gt;=1,$H296&lt;=5,ISNUMBER($J296),MOD($J296,1)=0,$J296&gt;=1,$J296&lt;=5,ISNUMBER($L296),MOD($L296,1)=0,$L296&gt;=1,$L296&lt;=5,ISNUMBER($N296),$N296&gt;=0,$O296="",$P296&lt;&gt;"",$Q296&lt;&gt;"",$R296="runner_monotonic_complete"),"ScorableComplete",IF(AND($A296&lt;&gt;"",$B296&lt;&gt;"",$C296&lt;&gt;"",$D296&lt;&gt;"",$E296&lt;&gt;"",$F296&lt;&gt;"",ISNUMBER($G296),$G296&gt;=1,OR($O296="insufficient_source_evidence",$O296="operational_failure"),$H296="",$J296="",$L296="",$N296="",$Q296&lt;&gt;"",$R296="runner_monotonic_not_scorable"),"NotScorable","Partial")))</x:f>
        <x:v>Pending</x:v>
      </x:c>
    </x:row>
    <x:row r="297">
      <x:c r="A297" s="44"/>
      <x:c r="B297" s="44"/>
      <x:c r="C297" s="44"/>
      <x:c r="D297" s="44"/>
      <x:c r="E297" s="44"/>
      <x:c r="F297" s="44"/>
      <x:c r="G297" s="44"/>
      <x:c r="H297" s="44"/>
      <x:c r="I297" s="44"/>
      <x:c r="J297" s="44"/>
      <x:c r="K297" s="44"/>
      <x:c r="L297" s="44"/>
      <x:c r="M297" s="44"/>
      <x:c r="N297" s="50"/>
      <x:c r="O297" s="44"/>
      <x:c r="P297" s="53"/>
      <x:c r="Q297" s="53"/>
      <x:c r="R297" s="44"/>
      <x:c r="S297" s="47" t="str">
        <x:f>IF(COUNTA($H297:$R297)=0,"Pending",IF(AND($A297&lt;&gt;"",$B297&lt;&gt;"",$C297&lt;&gt;"",$D297&lt;&gt;"",$E297&lt;&gt;"",$F297&lt;&gt;"",ISNUMBER($G297),$G297&gt;=1,ISNUMBER($H297),MOD($H297,1)=0,$H297&gt;=1,$H297&lt;=5,ISNUMBER($J297),MOD($J297,1)=0,$J297&gt;=1,$J297&lt;=5,ISNUMBER($L297),MOD($L297,1)=0,$L297&gt;=1,$L297&lt;=5,ISNUMBER($N297),$N297&gt;=0,$O297="",$P297&lt;&gt;"",$Q297&lt;&gt;"",$R297="runner_monotonic_complete"),"ScorableComplete",IF(AND($A297&lt;&gt;"",$B297&lt;&gt;"",$C297&lt;&gt;"",$D297&lt;&gt;"",$E297&lt;&gt;"",$F297&lt;&gt;"",ISNUMBER($G297),$G297&gt;=1,OR($O297="insufficient_source_evidence",$O297="operational_failure"),$H297="",$J297="",$L297="",$N297="",$Q297&lt;&gt;"",$R297="runner_monotonic_not_scorable"),"NotScorable","Partial")))</x:f>
        <x:v>Pending</x:v>
      </x:c>
    </x:row>
    <x:row r="298">
      <x:c r="A298" s="44"/>
      <x:c r="B298" s="44"/>
      <x:c r="C298" s="44"/>
      <x:c r="D298" s="44"/>
      <x:c r="E298" s="44"/>
      <x:c r="F298" s="44"/>
      <x:c r="G298" s="44"/>
      <x:c r="H298" s="44"/>
      <x:c r="I298" s="44"/>
      <x:c r="J298" s="44"/>
      <x:c r="K298" s="44"/>
      <x:c r="L298" s="44"/>
      <x:c r="M298" s="44"/>
      <x:c r="N298" s="50"/>
      <x:c r="O298" s="44"/>
      <x:c r="P298" s="53"/>
      <x:c r="Q298" s="53"/>
      <x:c r="R298" s="44"/>
      <x:c r="S298" s="47" t="str">
        <x:f>IF(COUNTA($H298:$R298)=0,"Pending",IF(AND($A298&lt;&gt;"",$B298&lt;&gt;"",$C298&lt;&gt;"",$D298&lt;&gt;"",$E298&lt;&gt;"",$F298&lt;&gt;"",ISNUMBER($G298),$G298&gt;=1,ISNUMBER($H298),MOD($H298,1)=0,$H298&gt;=1,$H298&lt;=5,ISNUMBER($J298),MOD($J298,1)=0,$J298&gt;=1,$J298&lt;=5,ISNUMBER($L298),MOD($L298,1)=0,$L298&gt;=1,$L298&lt;=5,ISNUMBER($N298),$N298&gt;=0,$O298="",$P298&lt;&gt;"",$Q298&lt;&gt;"",$R298="runner_monotonic_complete"),"ScorableComplete",IF(AND($A298&lt;&gt;"",$B298&lt;&gt;"",$C298&lt;&gt;"",$D298&lt;&gt;"",$E298&lt;&gt;"",$F298&lt;&gt;"",ISNUMBER($G298),$G298&gt;=1,OR($O298="insufficient_source_evidence",$O298="operational_failure"),$H298="",$J298="",$L298="",$N298="",$Q298&lt;&gt;"",$R298="runner_monotonic_not_scorable"),"NotScorable","Partial")))</x:f>
        <x:v>Pending</x:v>
      </x:c>
    </x:row>
    <x:row r="299">
      <x:c r="A299" s="44"/>
      <x:c r="B299" s="44"/>
      <x:c r="C299" s="44"/>
      <x:c r="D299" s="44"/>
      <x:c r="E299" s="44"/>
      <x:c r="F299" s="44"/>
      <x:c r="G299" s="44"/>
      <x:c r="H299" s="44"/>
      <x:c r="I299" s="44"/>
      <x:c r="J299" s="44"/>
      <x:c r="K299" s="44"/>
      <x:c r="L299" s="44"/>
      <x:c r="M299" s="44"/>
      <x:c r="N299" s="50"/>
      <x:c r="O299" s="44"/>
      <x:c r="P299" s="53"/>
      <x:c r="Q299" s="53"/>
      <x:c r="R299" s="44"/>
      <x:c r="S299" s="47" t="str">
        <x:f>IF(COUNTA($H299:$R299)=0,"Pending",IF(AND($A299&lt;&gt;"",$B299&lt;&gt;"",$C299&lt;&gt;"",$D299&lt;&gt;"",$E299&lt;&gt;"",$F299&lt;&gt;"",ISNUMBER($G299),$G299&gt;=1,ISNUMBER($H299),MOD($H299,1)=0,$H299&gt;=1,$H299&lt;=5,ISNUMBER($J299),MOD($J299,1)=0,$J299&gt;=1,$J299&lt;=5,ISNUMBER($L299),MOD($L299,1)=0,$L299&gt;=1,$L299&lt;=5,ISNUMBER($N299),$N299&gt;=0,$O299="",$P299&lt;&gt;"",$Q299&lt;&gt;"",$R299="runner_monotonic_complete"),"ScorableComplete",IF(AND($A299&lt;&gt;"",$B299&lt;&gt;"",$C299&lt;&gt;"",$D299&lt;&gt;"",$E299&lt;&gt;"",$F299&lt;&gt;"",ISNUMBER($G299),$G299&gt;=1,OR($O299="insufficient_source_evidence",$O299="operational_failure"),$H299="",$J299="",$L299="",$N299="",$Q299&lt;&gt;"",$R299="runner_monotonic_not_scorable"),"NotScorable","Partial")))</x:f>
        <x:v>Pending</x:v>
      </x:c>
    </x:row>
    <x:row r="300">
      <x:c r="A300" s="44"/>
      <x:c r="B300" s="44"/>
      <x:c r="C300" s="44"/>
      <x:c r="D300" s="44"/>
      <x:c r="E300" s="44"/>
      <x:c r="F300" s="44"/>
      <x:c r="G300" s="44"/>
      <x:c r="H300" s="44"/>
      <x:c r="I300" s="44"/>
      <x:c r="J300" s="44"/>
      <x:c r="K300" s="44"/>
      <x:c r="L300" s="44"/>
      <x:c r="M300" s="44"/>
      <x:c r="N300" s="50"/>
      <x:c r="O300" s="44"/>
      <x:c r="P300" s="53"/>
      <x:c r="Q300" s="53"/>
      <x:c r="R300" s="44"/>
      <x:c r="S300" s="47" t="str">
        <x:f>IF(COUNTA($H300:$R300)=0,"Pending",IF(AND($A300&lt;&gt;"",$B300&lt;&gt;"",$C300&lt;&gt;"",$D300&lt;&gt;"",$E300&lt;&gt;"",$F300&lt;&gt;"",ISNUMBER($G300),$G300&gt;=1,ISNUMBER($H300),MOD($H300,1)=0,$H300&gt;=1,$H300&lt;=5,ISNUMBER($J300),MOD($J300,1)=0,$J300&gt;=1,$J300&lt;=5,ISNUMBER($L300),MOD($L300,1)=0,$L300&gt;=1,$L300&lt;=5,ISNUMBER($N300),$N300&gt;=0,$O300="",$P300&lt;&gt;"",$Q300&lt;&gt;"",$R300="runner_monotonic_complete"),"ScorableComplete",IF(AND($A300&lt;&gt;"",$B300&lt;&gt;"",$C300&lt;&gt;"",$D300&lt;&gt;"",$E300&lt;&gt;"",$F300&lt;&gt;"",ISNUMBER($G300),$G300&gt;=1,OR($O300="insufficient_source_evidence",$O300="operational_failure"),$H300="",$J300="",$L300="",$N300="",$Q300&lt;&gt;"",$R300="runner_monotonic_not_scorable"),"NotScorable","Partial")))</x:f>
        <x:v>Pending</x:v>
      </x:c>
    </x:row>
    <x:row r="301">
      <x:c r="A301" s="44"/>
      <x:c r="B301" s="44"/>
      <x:c r="C301" s="44"/>
      <x:c r="D301" s="44"/>
      <x:c r="E301" s="44"/>
      <x:c r="F301" s="44"/>
      <x:c r="G301" s="44"/>
      <x:c r="H301" s="44"/>
      <x:c r="I301" s="44"/>
      <x:c r="J301" s="44"/>
      <x:c r="K301" s="44"/>
      <x:c r="L301" s="44"/>
      <x:c r="M301" s="44"/>
      <x:c r="N301" s="50"/>
      <x:c r="O301" s="44"/>
      <x:c r="P301" s="53"/>
      <x:c r="Q301" s="53"/>
      <x:c r="R301" s="44"/>
      <x:c r="S301" s="47" t="str">
        <x:f>IF(COUNTA($H301:$R301)=0,"Pending",IF(AND($A301&lt;&gt;"",$B301&lt;&gt;"",$C301&lt;&gt;"",$D301&lt;&gt;"",$E301&lt;&gt;"",$F301&lt;&gt;"",ISNUMBER($G301),$G301&gt;=1,ISNUMBER($H301),MOD($H301,1)=0,$H301&gt;=1,$H301&lt;=5,ISNUMBER($J301),MOD($J301,1)=0,$J301&gt;=1,$J301&lt;=5,ISNUMBER($L301),MOD($L301,1)=0,$L301&gt;=1,$L301&lt;=5,ISNUMBER($N301),$N301&gt;=0,$O301="",$P301&lt;&gt;"",$Q301&lt;&gt;"",$R301="runner_monotonic_complete"),"ScorableComplete",IF(AND($A301&lt;&gt;"",$B301&lt;&gt;"",$C301&lt;&gt;"",$D301&lt;&gt;"",$E301&lt;&gt;"",$F301&lt;&gt;"",ISNUMBER($G301),$G301&gt;=1,OR($O301="insufficient_source_evidence",$O301="operational_failure"),$H301="",$J301="",$L301="",$N301="",$Q301&lt;&gt;"",$R301="runner_monotonic_not_scorable"),"NotScorable","Partial")))</x:f>
        <x:v>Pending</x:v>
      </x:c>
    </x:row>
    <x:row r="302">
      <x:c r="A302" s="44"/>
      <x:c r="B302" s="44"/>
      <x:c r="C302" s="44"/>
      <x:c r="D302" s="44"/>
      <x:c r="E302" s="44"/>
      <x:c r="F302" s="44"/>
      <x:c r="G302" s="44"/>
      <x:c r="H302" s="44"/>
      <x:c r="I302" s="44"/>
      <x:c r="J302" s="44"/>
      <x:c r="K302" s="44"/>
      <x:c r="L302" s="44"/>
      <x:c r="M302" s="44"/>
      <x:c r="N302" s="50"/>
      <x:c r="O302" s="44"/>
      <x:c r="P302" s="53"/>
      <x:c r="Q302" s="53"/>
      <x:c r="R302" s="44"/>
      <x:c r="S302" s="47" t="str">
        <x:f>IF(COUNTA($H302:$R302)=0,"Pending",IF(AND($A302&lt;&gt;"",$B302&lt;&gt;"",$C302&lt;&gt;"",$D302&lt;&gt;"",$E302&lt;&gt;"",$F302&lt;&gt;"",ISNUMBER($G302),$G302&gt;=1,ISNUMBER($H302),MOD($H302,1)=0,$H302&gt;=1,$H302&lt;=5,ISNUMBER($J302),MOD($J302,1)=0,$J302&gt;=1,$J302&lt;=5,ISNUMBER($L302),MOD($L302,1)=0,$L302&gt;=1,$L302&lt;=5,ISNUMBER($N302),$N302&gt;=0,$O302="",$P302&lt;&gt;"",$Q302&lt;&gt;"",$R302="runner_monotonic_complete"),"ScorableComplete",IF(AND($A302&lt;&gt;"",$B302&lt;&gt;"",$C302&lt;&gt;"",$D302&lt;&gt;"",$E302&lt;&gt;"",$F302&lt;&gt;"",ISNUMBER($G302),$G302&gt;=1,OR($O302="insufficient_source_evidence",$O302="operational_failure"),$H302="",$J302="",$L302="",$N302="",$Q302&lt;&gt;"",$R302="runner_monotonic_not_scorable"),"NotScorable","Partial")))</x:f>
        <x:v>Pending</x:v>
      </x:c>
    </x:row>
    <x:row r="303">
      <x:c r="A303" s="44"/>
      <x:c r="B303" s="44"/>
      <x:c r="C303" s="44"/>
      <x:c r="D303" s="44"/>
      <x:c r="E303" s="44"/>
      <x:c r="F303" s="44"/>
      <x:c r="G303" s="44"/>
      <x:c r="H303" s="44"/>
      <x:c r="I303" s="44"/>
      <x:c r="J303" s="44"/>
      <x:c r="K303" s="44"/>
      <x:c r="L303" s="44"/>
      <x:c r="M303" s="44"/>
      <x:c r="N303" s="50"/>
      <x:c r="O303" s="44"/>
      <x:c r="P303" s="53"/>
      <x:c r="Q303" s="53"/>
      <x:c r="R303" s="44"/>
      <x:c r="S303" s="47" t="str">
        <x:f>IF(COUNTA($H303:$R303)=0,"Pending",IF(AND($A303&lt;&gt;"",$B303&lt;&gt;"",$C303&lt;&gt;"",$D303&lt;&gt;"",$E303&lt;&gt;"",$F303&lt;&gt;"",ISNUMBER($G303),$G303&gt;=1,ISNUMBER($H303),MOD($H303,1)=0,$H303&gt;=1,$H303&lt;=5,ISNUMBER($J303),MOD($J303,1)=0,$J303&gt;=1,$J303&lt;=5,ISNUMBER($L303),MOD($L303,1)=0,$L303&gt;=1,$L303&lt;=5,ISNUMBER($N303),$N303&gt;=0,$O303="",$P303&lt;&gt;"",$Q303&lt;&gt;"",$R303="runner_monotonic_complete"),"ScorableComplete",IF(AND($A303&lt;&gt;"",$B303&lt;&gt;"",$C303&lt;&gt;"",$D303&lt;&gt;"",$E303&lt;&gt;"",$F303&lt;&gt;"",ISNUMBER($G303),$G303&gt;=1,OR($O303="insufficient_source_evidence",$O303="operational_failure"),$H303="",$J303="",$L303="",$N303="",$Q303&lt;&gt;"",$R303="runner_monotonic_not_scorable"),"NotScorable","Partial")))</x:f>
        <x:v>Pending</x:v>
      </x:c>
    </x:row>
    <x:row r="304">
      <x:c r="A304" s="44"/>
      <x:c r="B304" s="44"/>
      <x:c r="C304" s="44"/>
      <x:c r="D304" s="44"/>
      <x:c r="E304" s="44"/>
      <x:c r="F304" s="44"/>
      <x:c r="G304" s="44"/>
      <x:c r="H304" s="44"/>
      <x:c r="I304" s="44"/>
      <x:c r="J304" s="44"/>
      <x:c r="K304" s="44"/>
      <x:c r="L304" s="44"/>
      <x:c r="M304" s="44"/>
      <x:c r="N304" s="50"/>
      <x:c r="O304" s="44"/>
      <x:c r="P304" s="53"/>
      <x:c r="Q304" s="53"/>
      <x:c r="R304" s="44"/>
      <x:c r="S304" s="47" t="str">
        <x:f>IF(COUNTA($H304:$R304)=0,"Pending",IF(AND($A304&lt;&gt;"",$B304&lt;&gt;"",$C304&lt;&gt;"",$D304&lt;&gt;"",$E304&lt;&gt;"",$F304&lt;&gt;"",ISNUMBER($G304),$G304&gt;=1,ISNUMBER($H304),MOD($H304,1)=0,$H304&gt;=1,$H304&lt;=5,ISNUMBER($J304),MOD($J304,1)=0,$J304&gt;=1,$J304&lt;=5,ISNUMBER($L304),MOD($L304,1)=0,$L304&gt;=1,$L304&lt;=5,ISNUMBER($N304),$N304&gt;=0,$O304="",$P304&lt;&gt;"",$Q304&lt;&gt;"",$R304="runner_monotonic_complete"),"ScorableComplete",IF(AND($A304&lt;&gt;"",$B304&lt;&gt;"",$C304&lt;&gt;"",$D304&lt;&gt;"",$E304&lt;&gt;"",$F304&lt;&gt;"",ISNUMBER($G304),$G304&gt;=1,OR($O304="insufficient_source_evidence",$O304="operational_failure"),$H304="",$J304="",$L304="",$N304="",$Q304&lt;&gt;"",$R304="runner_monotonic_not_scorable"),"NotScorable","Partial")))</x:f>
        <x:v>Pending</x:v>
      </x:c>
    </x:row>
    <x:row r="305">
      <x:c r="A305" s="44"/>
      <x:c r="B305" s="44"/>
      <x:c r="C305" s="44"/>
      <x:c r="D305" s="44"/>
      <x:c r="E305" s="44"/>
      <x:c r="F305" s="44"/>
      <x:c r="G305" s="44"/>
      <x:c r="H305" s="44"/>
      <x:c r="I305" s="44"/>
      <x:c r="J305" s="44"/>
      <x:c r="K305" s="44"/>
      <x:c r="L305" s="44"/>
      <x:c r="M305" s="44"/>
      <x:c r="N305" s="50"/>
      <x:c r="O305" s="44"/>
      <x:c r="P305" s="53"/>
      <x:c r="Q305" s="53"/>
      <x:c r="R305" s="44"/>
      <x:c r="S305" s="47" t="str">
        <x:f>IF(COUNTA($H305:$R305)=0,"Pending",IF(AND($A305&lt;&gt;"",$B305&lt;&gt;"",$C305&lt;&gt;"",$D305&lt;&gt;"",$E305&lt;&gt;"",$F305&lt;&gt;"",ISNUMBER($G305),$G305&gt;=1,ISNUMBER($H305),MOD($H305,1)=0,$H305&gt;=1,$H305&lt;=5,ISNUMBER($J305),MOD($J305,1)=0,$J305&gt;=1,$J305&lt;=5,ISNUMBER($L305),MOD($L305,1)=0,$L305&gt;=1,$L305&lt;=5,ISNUMBER($N305),$N305&gt;=0,$O305="",$P305&lt;&gt;"",$Q305&lt;&gt;"",$R305="runner_monotonic_complete"),"ScorableComplete",IF(AND($A305&lt;&gt;"",$B305&lt;&gt;"",$C305&lt;&gt;"",$D305&lt;&gt;"",$E305&lt;&gt;"",$F305&lt;&gt;"",ISNUMBER($G305),$G305&gt;=1,OR($O305="insufficient_source_evidence",$O305="operational_failure"),$H305="",$J305="",$L305="",$N305="",$Q305&lt;&gt;"",$R305="runner_monotonic_not_scorable"),"NotScorable","Partial")))</x:f>
        <x:v>Pending</x:v>
      </x:c>
    </x:row>
    <x:row r="306">
      <x:c r="A306" s="44"/>
      <x:c r="B306" s="44"/>
      <x:c r="C306" s="44"/>
      <x:c r="D306" s="44"/>
      <x:c r="E306" s="44"/>
      <x:c r="F306" s="44"/>
      <x:c r="G306" s="44"/>
      <x:c r="H306" s="44"/>
      <x:c r="I306" s="44"/>
      <x:c r="J306" s="44"/>
      <x:c r="K306" s="44"/>
      <x:c r="L306" s="44"/>
      <x:c r="M306" s="44"/>
      <x:c r="N306" s="50"/>
      <x:c r="O306" s="44"/>
      <x:c r="P306" s="53"/>
      <x:c r="Q306" s="53"/>
      <x:c r="R306" s="44"/>
      <x:c r="S306" s="47" t="str">
        <x:f>IF(COUNTA($H306:$R306)=0,"Pending",IF(AND($A306&lt;&gt;"",$B306&lt;&gt;"",$C306&lt;&gt;"",$D306&lt;&gt;"",$E306&lt;&gt;"",$F306&lt;&gt;"",ISNUMBER($G306),$G306&gt;=1,ISNUMBER($H306),MOD($H306,1)=0,$H306&gt;=1,$H306&lt;=5,ISNUMBER($J306),MOD($J306,1)=0,$J306&gt;=1,$J306&lt;=5,ISNUMBER($L306),MOD($L306,1)=0,$L306&gt;=1,$L306&lt;=5,ISNUMBER($N306),$N306&gt;=0,$O306="",$P306&lt;&gt;"",$Q306&lt;&gt;"",$R306="runner_monotonic_complete"),"ScorableComplete",IF(AND($A306&lt;&gt;"",$B306&lt;&gt;"",$C306&lt;&gt;"",$D306&lt;&gt;"",$E306&lt;&gt;"",$F306&lt;&gt;"",ISNUMBER($G306),$G306&gt;=1,OR($O306="insufficient_source_evidence",$O306="operational_failure"),$H306="",$J306="",$L306="",$N306="",$Q306&lt;&gt;"",$R306="runner_monotonic_not_scorable"),"NotScorable","Partial")))</x:f>
        <x:v>Pending</x:v>
      </x:c>
    </x:row>
    <x:row r="307">
      <x:c r="A307" s="44"/>
      <x:c r="B307" s="44"/>
      <x:c r="C307" s="44"/>
      <x:c r="D307" s="44"/>
      <x:c r="E307" s="44"/>
      <x:c r="F307" s="44"/>
      <x:c r="G307" s="44"/>
      <x:c r="H307" s="44"/>
      <x:c r="I307" s="44"/>
      <x:c r="J307" s="44"/>
      <x:c r="K307" s="44"/>
      <x:c r="L307" s="44"/>
      <x:c r="M307" s="44"/>
      <x:c r="N307" s="50"/>
      <x:c r="O307" s="44"/>
      <x:c r="P307" s="53"/>
      <x:c r="Q307" s="53"/>
      <x:c r="R307" s="44"/>
      <x:c r="S307" s="47" t="str">
        <x:f>IF(COUNTA($H307:$R307)=0,"Pending",IF(AND($A307&lt;&gt;"",$B307&lt;&gt;"",$C307&lt;&gt;"",$D307&lt;&gt;"",$E307&lt;&gt;"",$F307&lt;&gt;"",ISNUMBER($G307),$G307&gt;=1,ISNUMBER($H307),MOD($H307,1)=0,$H307&gt;=1,$H307&lt;=5,ISNUMBER($J307),MOD($J307,1)=0,$J307&gt;=1,$J307&lt;=5,ISNUMBER($L307),MOD($L307,1)=0,$L307&gt;=1,$L307&lt;=5,ISNUMBER($N307),$N307&gt;=0,$O307="",$P307&lt;&gt;"",$Q307&lt;&gt;"",$R307="runner_monotonic_complete"),"ScorableComplete",IF(AND($A307&lt;&gt;"",$B307&lt;&gt;"",$C307&lt;&gt;"",$D307&lt;&gt;"",$E307&lt;&gt;"",$F307&lt;&gt;"",ISNUMBER($G307),$G307&gt;=1,OR($O307="insufficient_source_evidence",$O307="operational_failure"),$H307="",$J307="",$L307="",$N307="",$Q307&lt;&gt;"",$R307="runner_monotonic_not_scorable"),"NotScorable","Partial")))</x:f>
        <x:v>Pending</x:v>
      </x:c>
    </x:row>
    <x:row r="308">
      <x:c r="A308" s="44"/>
      <x:c r="B308" s="44"/>
      <x:c r="C308" s="44"/>
      <x:c r="D308" s="44"/>
      <x:c r="E308" s="44"/>
      <x:c r="F308" s="44"/>
      <x:c r="G308" s="44"/>
      <x:c r="H308" s="44"/>
      <x:c r="I308" s="44"/>
      <x:c r="J308" s="44"/>
      <x:c r="K308" s="44"/>
      <x:c r="L308" s="44"/>
      <x:c r="M308" s="44"/>
      <x:c r="N308" s="50"/>
      <x:c r="O308" s="44"/>
      <x:c r="P308" s="53"/>
      <x:c r="Q308" s="53"/>
      <x:c r="R308" s="44"/>
      <x:c r="S308" s="47" t="str">
        <x:f>IF(COUNTA($H308:$R308)=0,"Pending",IF(AND($A308&lt;&gt;"",$B308&lt;&gt;"",$C308&lt;&gt;"",$D308&lt;&gt;"",$E308&lt;&gt;"",$F308&lt;&gt;"",ISNUMBER($G308),$G308&gt;=1,ISNUMBER($H308),MOD($H308,1)=0,$H308&gt;=1,$H308&lt;=5,ISNUMBER($J308),MOD($J308,1)=0,$J308&gt;=1,$J308&lt;=5,ISNUMBER($L308),MOD($L308,1)=0,$L308&gt;=1,$L308&lt;=5,ISNUMBER($N308),$N308&gt;=0,$O308="",$P308&lt;&gt;"",$Q308&lt;&gt;"",$R308="runner_monotonic_complete"),"ScorableComplete",IF(AND($A308&lt;&gt;"",$B308&lt;&gt;"",$C308&lt;&gt;"",$D308&lt;&gt;"",$E308&lt;&gt;"",$F308&lt;&gt;"",ISNUMBER($G308),$G308&gt;=1,OR($O308="insufficient_source_evidence",$O308="operational_failure"),$H308="",$J308="",$L308="",$N308="",$Q308&lt;&gt;"",$R308="runner_monotonic_not_scorable"),"NotScorable","Partial")))</x:f>
        <x:v>Pending</x:v>
      </x:c>
    </x:row>
    <x:row r="309">
      <x:c r="A309" s="44"/>
      <x:c r="B309" s="44"/>
      <x:c r="C309" s="44"/>
      <x:c r="D309" s="44"/>
      <x:c r="E309" s="44"/>
      <x:c r="F309" s="44"/>
      <x:c r="G309" s="44"/>
      <x:c r="H309" s="44"/>
      <x:c r="I309" s="44"/>
      <x:c r="J309" s="44"/>
      <x:c r="K309" s="44"/>
      <x:c r="L309" s="44"/>
      <x:c r="M309" s="44"/>
      <x:c r="N309" s="50"/>
      <x:c r="O309" s="44"/>
      <x:c r="P309" s="53"/>
      <x:c r="Q309" s="53"/>
      <x:c r="R309" s="44"/>
      <x:c r="S309" s="47" t="str">
        <x:f>IF(COUNTA($H309:$R309)=0,"Pending",IF(AND($A309&lt;&gt;"",$B309&lt;&gt;"",$C309&lt;&gt;"",$D309&lt;&gt;"",$E309&lt;&gt;"",$F309&lt;&gt;"",ISNUMBER($G309),$G309&gt;=1,ISNUMBER($H309),MOD($H309,1)=0,$H309&gt;=1,$H309&lt;=5,ISNUMBER($J309),MOD($J309,1)=0,$J309&gt;=1,$J309&lt;=5,ISNUMBER($L309),MOD($L309,1)=0,$L309&gt;=1,$L309&lt;=5,ISNUMBER($N309),$N309&gt;=0,$O309="",$P309&lt;&gt;"",$Q309&lt;&gt;"",$R309="runner_monotonic_complete"),"ScorableComplete",IF(AND($A309&lt;&gt;"",$B309&lt;&gt;"",$C309&lt;&gt;"",$D309&lt;&gt;"",$E309&lt;&gt;"",$F309&lt;&gt;"",ISNUMBER($G309),$G309&gt;=1,OR($O309="insufficient_source_evidence",$O309="operational_failure"),$H309="",$J309="",$L309="",$N309="",$Q309&lt;&gt;"",$R309="runner_monotonic_not_scorable"),"NotScorable","Partial")))</x:f>
        <x:v>Pending</x:v>
      </x:c>
    </x:row>
    <x:row r="310">
      <x:c r="A310" s="44"/>
      <x:c r="B310" s="44"/>
      <x:c r="C310" s="44"/>
      <x:c r="D310" s="44"/>
      <x:c r="E310" s="44"/>
      <x:c r="F310" s="44"/>
      <x:c r="G310" s="44"/>
      <x:c r="H310" s="44"/>
      <x:c r="I310" s="44"/>
      <x:c r="J310" s="44"/>
      <x:c r="K310" s="44"/>
      <x:c r="L310" s="44"/>
      <x:c r="M310" s="44"/>
      <x:c r="N310" s="50"/>
      <x:c r="O310" s="44"/>
      <x:c r="P310" s="53"/>
      <x:c r="Q310" s="53"/>
      <x:c r="R310" s="44"/>
      <x:c r="S310" s="47" t="str">
        <x:f>IF(COUNTA($H310:$R310)=0,"Pending",IF(AND($A310&lt;&gt;"",$B310&lt;&gt;"",$C310&lt;&gt;"",$D310&lt;&gt;"",$E310&lt;&gt;"",$F310&lt;&gt;"",ISNUMBER($G310),$G310&gt;=1,ISNUMBER($H310),MOD($H310,1)=0,$H310&gt;=1,$H310&lt;=5,ISNUMBER($J310),MOD($J310,1)=0,$J310&gt;=1,$J310&lt;=5,ISNUMBER($L310),MOD($L310,1)=0,$L310&gt;=1,$L310&lt;=5,ISNUMBER($N310),$N310&gt;=0,$O310="",$P310&lt;&gt;"",$Q310&lt;&gt;"",$R310="runner_monotonic_complete"),"ScorableComplete",IF(AND($A310&lt;&gt;"",$B310&lt;&gt;"",$C310&lt;&gt;"",$D310&lt;&gt;"",$E310&lt;&gt;"",$F310&lt;&gt;"",ISNUMBER($G310),$G310&gt;=1,OR($O310="insufficient_source_evidence",$O310="operational_failure"),$H310="",$J310="",$L310="",$N310="",$Q310&lt;&gt;"",$R310="runner_monotonic_not_scorable"),"NotScorable","Partial")))</x:f>
        <x:v>Pending</x:v>
      </x:c>
    </x:row>
    <x:row r="311">
      <x:c r="A311" s="44"/>
      <x:c r="B311" s="44"/>
      <x:c r="C311" s="44"/>
      <x:c r="D311" s="44"/>
      <x:c r="E311" s="44"/>
      <x:c r="F311" s="44"/>
      <x:c r="G311" s="44"/>
      <x:c r="H311" s="44"/>
      <x:c r="I311" s="44"/>
      <x:c r="J311" s="44"/>
      <x:c r="K311" s="44"/>
      <x:c r="L311" s="44"/>
      <x:c r="M311" s="44"/>
      <x:c r="N311" s="50"/>
      <x:c r="O311" s="44"/>
      <x:c r="P311" s="53"/>
      <x:c r="Q311" s="53"/>
      <x:c r="R311" s="44"/>
      <x:c r="S311" s="47" t="str">
        <x:f>IF(COUNTA($H311:$R311)=0,"Pending",IF(AND($A311&lt;&gt;"",$B311&lt;&gt;"",$C311&lt;&gt;"",$D311&lt;&gt;"",$E311&lt;&gt;"",$F311&lt;&gt;"",ISNUMBER($G311),$G311&gt;=1,ISNUMBER($H311),MOD($H311,1)=0,$H311&gt;=1,$H311&lt;=5,ISNUMBER($J311),MOD($J311,1)=0,$J311&gt;=1,$J311&lt;=5,ISNUMBER($L311),MOD($L311,1)=0,$L311&gt;=1,$L311&lt;=5,ISNUMBER($N311),$N311&gt;=0,$O311="",$P311&lt;&gt;"",$Q311&lt;&gt;"",$R311="runner_monotonic_complete"),"ScorableComplete",IF(AND($A311&lt;&gt;"",$B311&lt;&gt;"",$C311&lt;&gt;"",$D311&lt;&gt;"",$E311&lt;&gt;"",$F311&lt;&gt;"",ISNUMBER($G311),$G311&gt;=1,OR($O311="insufficient_source_evidence",$O311="operational_failure"),$H311="",$J311="",$L311="",$N311="",$Q311&lt;&gt;"",$R311="runner_monotonic_not_scorable"),"NotScorable","Partial")))</x:f>
        <x:v>Pending</x:v>
      </x:c>
    </x:row>
    <x:row r="312">
      <x:c r="A312" s="44"/>
      <x:c r="B312" s="44"/>
      <x:c r="C312" s="44"/>
      <x:c r="D312" s="44"/>
      <x:c r="E312" s="44"/>
      <x:c r="F312" s="44"/>
      <x:c r="G312" s="44"/>
      <x:c r="H312" s="44"/>
      <x:c r="I312" s="44"/>
      <x:c r="J312" s="44"/>
      <x:c r="K312" s="44"/>
      <x:c r="L312" s="44"/>
      <x:c r="M312" s="44"/>
      <x:c r="N312" s="50"/>
      <x:c r="O312" s="44"/>
      <x:c r="P312" s="53"/>
      <x:c r="Q312" s="53"/>
      <x:c r="R312" s="44"/>
      <x:c r="S312" s="47" t="str">
        <x:f>IF(COUNTA($H312:$R312)=0,"Pending",IF(AND($A312&lt;&gt;"",$B312&lt;&gt;"",$C312&lt;&gt;"",$D312&lt;&gt;"",$E312&lt;&gt;"",$F312&lt;&gt;"",ISNUMBER($G312),$G312&gt;=1,ISNUMBER($H312),MOD($H312,1)=0,$H312&gt;=1,$H312&lt;=5,ISNUMBER($J312),MOD($J312,1)=0,$J312&gt;=1,$J312&lt;=5,ISNUMBER($L312),MOD($L312,1)=0,$L312&gt;=1,$L312&lt;=5,ISNUMBER($N312),$N312&gt;=0,$O312="",$P312&lt;&gt;"",$Q312&lt;&gt;"",$R312="runner_monotonic_complete"),"ScorableComplete",IF(AND($A312&lt;&gt;"",$B312&lt;&gt;"",$C312&lt;&gt;"",$D312&lt;&gt;"",$E312&lt;&gt;"",$F312&lt;&gt;"",ISNUMBER($G312),$G312&gt;=1,OR($O312="insufficient_source_evidence",$O312="operational_failure"),$H312="",$J312="",$L312="",$N312="",$Q312&lt;&gt;"",$R312="runner_monotonic_not_scorable"),"NotScorable","Partial")))</x:f>
        <x:v>Pending</x:v>
      </x:c>
    </x:row>
    <x:row r="313">
      <x:c r="A313" s="44"/>
      <x:c r="B313" s="44"/>
      <x:c r="C313" s="44"/>
      <x:c r="D313" s="44"/>
      <x:c r="E313" s="44"/>
      <x:c r="F313" s="44"/>
      <x:c r="G313" s="44"/>
      <x:c r="H313" s="44"/>
      <x:c r="I313" s="44"/>
      <x:c r="J313" s="44"/>
      <x:c r="K313" s="44"/>
      <x:c r="L313" s="44"/>
      <x:c r="M313" s="44"/>
      <x:c r="N313" s="50"/>
      <x:c r="O313" s="44"/>
      <x:c r="P313" s="53"/>
      <x:c r="Q313" s="53"/>
      <x:c r="R313" s="44"/>
      <x:c r="S313" s="47" t="str">
        <x:f>IF(COUNTA($H313:$R313)=0,"Pending",IF(AND($A313&lt;&gt;"",$B313&lt;&gt;"",$C313&lt;&gt;"",$D313&lt;&gt;"",$E313&lt;&gt;"",$F313&lt;&gt;"",ISNUMBER($G313),$G313&gt;=1,ISNUMBER($H313),MOD($H313,1)=0,$H313&gt;=1,$H313&lt;=5,ISNUMBER($J313),MOD($J313,1)=0,$J313&gt;=1,$J313&lt;=5,ISNUMBER($L313),MOD($L313,1)=0,$L313&gt;=1,$L313&lt;=5,ISNUMBER($N313),$N313&gt;=0,$O313="",$P313&lt;&gt;"",$Q313&lt;&gt;"",$R313="runner_monotonic_complete"),"ScorableComplete",IF(AND($A313&lt;&gt;"",$B313&lt;&gt;"",$C313&lt;&gt;"",$D313&lt;&gt;"",$E313&lt;&gt;"",$F313&lt;&gt;"",ISNUMBER($G313),$G313&gt;=1,OR($O313="insufficient_source_evidence",$O313="operational_failure"),$H313="",$J313="",$L313="",$N313="",$Q313&lt;&gt;"",$R313="runner_monotonic_not_scorable"),"NotScorable","Partial")))</x:f>
        <x:v>Pending</x:v>
      </x:c>
    </x:row>
    <x:row r="314">
      <x:c r="A314" s="44"/>
      <x:c r="B314" s="44"/>
      <x:c r="C314" s="44"/>
      <x:c r="D314" s="44"/>
      <x:c r="E314" s="44"/>
      <x:c r="F314" s="44"/>
      <x:c r="G314" s="44"/>
      <x:c r="H314" s="44"/>
      <x:c r="I314" s="44"/>
      <x:c r="J314" s="44"/>
      <x:c r="K314" s="44"/>
      <x:c r="L314" s="44"/>
      <x:c r="M314" s="44"/>
      <x:c r="N314" s="50"/>
      <x:c r="O314" s="44"/>
      <x:c r="P314" s="53"/>
      <x:c r="Q314" s="53"/>
      <x:c r="R314" s="44"/>
      <x:c r="S314" s="47" t="str">
        <x:f>IF(COUNTA($H314:$R314)=0,"Pending",IF(AND($A314&lt;&gt;"",$B314&lt;&gt;"",$C314&lt;&gt;"",$D314&lt;&gt;"",$E314&lt;&gt;"",$F314&lt;&gt;"",ISNUMBER($G314),$G314&gt;=1,ISNUMBER($H314),MOD($H314,1)=0,$H314&gt;=1,$H314&lt;=5,ISNUMBER($J314),MOD($J314,1)=0,$J314&gt;=1,$J314&lt;=5,ISNUMBER($L314),MOD($L314,1)=0,$L314&gt;=1,$L314&lt;=5,ISNUMBER($N314),$N314&gt;=0,$O314="",$P314&lt;&gt;"",$Q314&lt;&gt;"",$R314="runner_monotonic_complete"),"ScorableComplete",IF(AND($A314&lt;&gt;"",$B314&lt;&gt;"",$C314&lt;&gt;"",$D314&lt;&gt;"",$E314&lt;&gt;"",$F314&lt;&gt;"",ISNUMBER($G314),$G314&gt;=1,OR($O314="insufficient_source_evidence",$O314="operational_failure"),$H314="",$J314="",$L314="",$N314="",$Q314&lt;&gt;"",$R314="runner_monotonic_not_scorable"),"NotScorable","Partial")))</x:f>
        <x:v>Pending</x:v>
      </x:c>
    </x:row>
    <x:row r="315">
      <x:c r="A315" s="44"/>
      <x:c r="B315" s="44"/>
      <x:c r="C315" s="44"/>
      <x:c r="D315" s="44"/>
      <x:c r="E315" s="44"/>
      <x:c r="F315" s="44"/>
      <x:c r="G315" s="44"/>
      <x:c r="H315" s="44"/>
      <x:c r="I315" s="44"/>
      <x:c r="J315" s="44"/>
      <x:c r="K315" s="44"/>
      <x:c r="L315" s="44"/>
      <x:c r="M315" s="44"/>
      <x:c r="N315" s="50"/>
      <x:c r="O315" s="44"/>
      <x:c r="P315" s="53"/>
      <x:c r="Q315" s="53"/>
      <x:c r="R315" s="44"/>
      <x:c r="S315" s="47" t="str">
        <x:f>IF(COUNTA($H315:$R315)=0,"Pending",IF(AND($A315&lt;&gt;"",$B315&lt;&gt;"",$C315&lt;&gt;"",$D315&lt;&gt;"",$E315&lt;&gt;"",$F315&lt;&gt;"",ISNUMBER($G315),$G315&gt;=1,ISNUMBER($H315),MOD($H315,1)=0,$H315&gt;=1,$H315&lt;=5,ISNUMBER($J315),MOD($J315,1)=0,$J315&gt;=1,$J315&lt;=5,ISNUMBER($L315),MOD($L315,1)=0,$L315&gt;=1,$L315&lt;=5,ISNUMBER($N315),$N315&gt;=0,$O315="",$P315&lt;&gt;"",$Q315&lt;&gt;"",$R315="runner_monotonic_complete"),"ScorableComplete",IF(AND($A315&lt;&gt;"",$B315&lt;&gt;"",$C315&lt;&gt;"",$D315&lt;&gt;"",$E315&lt;&gt;"",$F315&lt;&gt;"",ISNUMBER($G315),$G315&gt;=1,OR($O315="insufficient_source_evidence",$O315="operational_failure"),$H315="",$J315="",$L315="",$N315="",$Q315&lt;&gt;"",$R315="runner_monotonic_not_scorable"),"NotScorable","Partial")))</x:f>
        <x:v>Pending</x:v>
      </x:c>
    </x:row>
    <x:row r="316">
      <x:c r="A316" s="44"/>
      <x:c r="B316" s="44"/>
      <x:c r="C316" s="44"/>
      <x:c r="D316" s="44"/>
      <x:c r="E316" s="44"/>
      <x:c r="F316" s="44"/>
      <x:c r="G316" s="44"/>
      <x:c r="H316" s="44"/>
      <x:c r="I316" s="44"/>
      <x:c r="J316" s="44"/>
      <x:c r="K316" s="44"/>
      <x:c r="L316" s="44"/>
      <x:c r="M316" s="44"/>
      <x:c r="N316" s="50"/>
      <x:c r="O316" s="44"/>
      <x:c r="P316" s="53"/>
      <x:c r="Q316" s="53"/>
      <x:c r="R316" s="44"/>
      <x:c r="S316" s="47" t="str">
        <x:f>IF(COUNTA($H316:$R316)=0,"Pending",IF(AND($A316&lt;&gt;"",$B316&lt;&gt;"",$C316&lt;&gt;"",$D316&lt;&gt;"",$E316&lt;&gt;"",$F316&lt;&gt;"",ISNUMBER($G316),$G316&gt;=1,ISNUMBER($H316),MOD($H316,1)=0,$H316&gt;=1,$H316&lt;=5,ISNUMBER($J316),MOD($J316,1)=0,$J316&gt;=1,$J316&lt;=5,ISNUMBER($L316),MOD($L316,1)=0,$L316&gt;=1,$L316&lt;=5,ISNUMBER($N316),$N316&gt;=0,$O316="",$P316&lt;&gt;"",$Q316&lt;&gt;"",$R316="runner_monotonic_complete"),"ScorableComplete",IF(AND($A316&lt;&gt;"",$B316&lt;&gt;"",$C316&lt;&gt;"",$D316&lt;&gt;"",$E316&lt;&gt;"",$F316&lt;&gt;"",ISNUMBER($G316),$G316&gt;=1,OR($O316="insufficient_source_evidence",$O316="operational_failure"),$H316="",$J316="",$L316="",$N316="",$Q316&lt;&gt;"",$R316="runner_monotonic_not_scorable"),"NotScorable","Partial")))</x:f>
        <x:v>Pending</x:v>
      </x:c>
    </x:row>
    <x:row r="317">
      <x:c r="A317" s="44"/>
      <x:c r="B317" s="44"/>
      <x:c r="C317" s="44"/>
      <x:c r="D317" s="44"/>
      <x:c r="E317" s="44"/>
      <x:c r="F317" s="44"/>
      <x:c r="G317" s="44"/>
      <x:c r="H317" s="44"/>
      <x:c r="I317" s="44"/>
      <x:c r="J317" s="44"/>
      <x:c r="K317" s="44"/>
      <x:c r="L317" s="44"/>
      <x:c r="M317" s="44"/>
      <x:c r="N317" s="50"/>
      <x:c r="O317" s="44"/>
      <x:c r="P317" s="53"/>
      <x:c r="Q317" s="53"/>
      <x:c r="R317" s="44"/>
      <x:c r="S317" s="47" t="str">
        <x:f>IF(COUNTA($H317:$R317)=0,"Pending",IF(AND($A317&lt;&gt;"",$B317&lt;&gt;"",$C317&lt;&gt;"",$D317&lt;&gt;"",$E317&lt;&gt;"",$F317&lt;&gt;"",ISNUMBER($G317),$G317&gt;=1,ISNUMBER($H317),MOD($H317,1)=0,$H317&gt;=1,$H317&lt;=5,ISNUMBER($J317),MOD($J317,1)=0,$J317&gt;=1,$J317&lt;=5,ISNUMBER($L317),MOD($L317,1)=0,$L317&gt;=1,$L317&lt;=5,ISNUMBER($N317),$N317&gt;=0,$O317="",$P317&lt;&gt;"",$Q317&lt;&gt;"",$R317="runner_monotonic_complete"),"ScorableComplete",IF(AND($A317&lt;&gt;"",$B317&lt;&gt;"",$C317&lt;&gt;"",$D317&lt;&gt;"",$E317&lt;&gt;"",$F317&lt;&gt;"",ISNUMBER($G317),$G317&gt;=1,OR($O317="insufficient_source_evidence",$O317="operational_failure"),$H317="",$J317="",$L317="",$N317="",$Q317&lt;&gt;"",$R317="runner_monotonic_not_scorable"),"NotScorable","Partial")))</x:f>
        <x:v>Pending</x:v>
      </x:c>
    </x:row>
    <x:row r="318">
      <x:c r="A318" s="44"/>
      <x:c r="B318" s="44"/>
      <x:c r="C318" s="44"/>
      <x:c r="D318" s="44"/>
      <x:c r="E318" s="44"/>
      <x:c r="F318" s="44"/>
      <x:c r="G318" s="44"/>
      <x:c r="H318" s="44"/>
      <x:c r="I318" s="44"/>
      <x:c r="J318" s="44"/>
      <x:c r="K318" s="44"/>
      <x:c r="L318" s="44"/>
      <x:c r="M318" s="44"/>
      <x:c r="N318" s="50"/>
      <x:c r="O318" s="44"/>
      <x:c r="P318" s="53"/>
      <x:c r="Q318" s="53"/>
      <x:c r="R318" s="44"/>
      <x:c r="S318" s="47" t="str">
        <x:f>IF(COUNTA($H318:$R318)=0,"Pending",IF(AND($A318&lt;&gt;"",$B318&lt;&gt;"",$C318&lt;&gt;"",$D318&lt;&gt;"",$E318&lt;&gt;"",$F318&lt;&gt;"",ISNUMBER($G318),$G318&gt;=1,ISNUMBER($H318),MOD($H318,1)=0,$H318&gt;=1,$H318&lt;=5,ISNUMBER($J318),MOD($J318,1)=0,$J318&gt;=1,$J318&lt;=5,ISNUMBER($L318),MOD($L318,1)=0,$L318&gt;=1,$L318&lt;=5,ISNUMBER($N318),$N318&gt;=0,$O318="",$P318&lt;&gt;"",$Q318&lt;&gt;"",$R318="runner_monotonic_complete"),"ScorableComplete",IF(AND($A318&lt;&gt;"",$B318&lt;&gt;"",$C318&lt;&gt;"",$D318&lt;&gt;"",$E318&lt;&gt;"",$F318&lt;&gt;"",ISNUMBER($G318),$G318&gt;=1,OR($O318="insufficient_source_evidence",$O318="operational_failure"),$H318="",$J318="",$L318="",$N318="",$Q318&lt;&gt;"",$R318="runner_monotonic_not_scorable"),"NotScorable","Partial")))</x:f>
        <x:v>Pending</x:v>
      </x:c>
    </x:row>
    <x:row r="319">
      <x:c r="A319" s="44"/>
      <x:c r="B319" s="44"/>
      <x:c r="C319" s="44"/>
      <x:c r="D319" s="44"/>
      <x:c r="E319" s="44"/>
      <x:c r="F319" s="44"/>
      <x:c r="G319" s="44"/>
      <x:c r="H319" s="44"/>
      <x:c r="I319" s="44"/>
      <x:c r="J319" s="44"/>
      <x:c r="K319" s="44"/>
      <x:c r="L319" s="44"/>
      <x:c r="M319" s="44"/>
      <x:c r="N319" s="50"/>
      <x:c r="O319" s="44"/>
      <x:c r="P319" s="53"/>
      <x:c r="Q319" s="53"/>
      <x:c r="R319" s="44"/>
      <x:c r="S319" s="47" t="str">
        <x:f>IF(COUNTA($H319:$R319)=0,"Pending",IF(AND($A319&lt;&gt;"",$B319&lt;&gt;"",$C319&lt;&gt;"",$D319&lt;&gt;"",$E319&lt;&gt;"",$F319&lt;&gt;"",ISNUMBER($G319),$G319&gt;=1,ISNUMBER($H319),MOD($H319,1)=0,$H319&gt;=1,$H319&lt;=5,ISNUMBER($J319),MOD($J319,1)=0,$J319&gt;=1,$J319&lt;=5,ISNUMBER($L319),MOD($L319,1)=0,$L319&gt;=1,$L319&lt;=5,ISNUMBER($N319),$N319&gt;=0,$O319="",$P319&lt;&gt;"",$Q319&lt;&gt;"",$R319="runner_monotonic_complete"),"ScorableComplete",IF(AND($A319&lt;&gt;"",$B319&lt;&gt;"",$C319&lt;&gt;"",$D319&lt;&gt;"",$E319&lt;&gt;"",$F319&lt;&gt;"",ISNUMBER($G319),$G319&gt;=1,OR($O319="insufficient_source_evidence",$O319="operational_failure"),$H319="",$J319="",$L319="",$N319="",$Q319&lt;&gt;"",$R319="runner_monotonic_not_scorable"),"NotScorable","Partial")))</x:f>
        <x:v>Pending</x:v>
      </x:c>
    </x:row>
    <x:row r="320">
      <x:c r="A320" s="44"/>
      <x:c r="B320" s="44"/>
      <x:c r="C320" s="44"/>
      <x:c r="D320" s="44"/>
      <x:c r="E320" s="44"/>
      <x:c r="F320" s="44"/>
      <x:c r="G320" s="44"/>
      <x:c r="H320" s="44"/>
      <x:c r="I320" s="44"/>
      <x:c r="J320" s="44"/>
      <x:c r="K320" s="44"/>
      <x:c r="L320" s="44"/>
      <x:c r="M320" s="44"/>
      <x:c r="N320" s="50"/>
      <x:c r="O320" s="44"/>
      <x:c r="P320" s="53"/>
      <x:c r="Q320" s="53"/>
      <x:c r="R320" s="44"/>
      <x:c r="S320" s="47" t="str">
        <x:f>IF(COUNTA($H320:$R320)=0,"Pending",IF(AND($A320&lt;&gt;"",$B320&lt;&gt;"",$C320&lt;&gt;"",$D320&lt;&gt;"",$E320&lt;&gt;"",$F320&lt;&gt;"",ISNUMBER($G320),$G320&gt;=1,ISNUMBER($H320),MOD($H320,1)=0,$H320&gt;=1,$H320&lt;=5,ISNUMBER($J320),MOD($J320,1)=0,$J320&gt;=1,$J320&lt;=5,ISNUMBER($L320),MOD($L320,1)=0,$L320&gt;=1,$L320&lt;=5,ISNUMBER($N320),$N320&gt;=0,$O320="",$P320&lt;&gt;"",$Q320&lt;&gt;"",$R320="runner_monotonic_complete"),"ScorableComplete",IF(AND($A320&lt;&gt;"",$B320&lt;&gt;"",$C320&lt;&gt;"",$D320&lt;&gt;"",$E320&lt;&gt;"",$F320&lt;&gt;"",ISNUMBER($G320),$G320&gt;=1,OR($O320="insufficient_source_evidence",$O320="operational_failure"),$H320="",$J320="",$L320="",$N320="",$Q320&lt;&gt;"",$R320="runner_monotonic_not_scorable"),"NotScorable","Partial")))</x:f>
        <x:v>Pending</x:v>
      </x:c>
    </x:row>
    <x:row r="321">
      <x:c r="A321" s="44"/>
      <x:c r="B321" s="44"/>
      <x:c r="C321" s="44"/>
      <x:c r="D321" s="44"/>
      <x:c r="E321" s="44"/>
      <x:c r="F321" s="44"/>
      <x:c r="G321" s="44"/>
      <x:c r="H321" s="44"/>
      <x:c r="I321" s="44"/>
      <x:c r="J321" s="44"/>
      <x:c r="K321" s="44"/>
      <x:c r="L321" s="44"/>
      <x:c r="M321" s="44"/>
      <x:c r="N321" s="50"/>
      <x:c r="O321" s="44"/>
      <x:c r="P321" s="53"/>
      <x:c r="Q321" s="53"/>
      <x:c r="R321" s="44"/>
      <x:c r="S321" s="47" t="str">
        <x:f>IF(COUNTA($H321:$R321)=0,"Pending",IF(AND($A321&lt;&gt;"",$B321&lt;&gt;"",$C321&lt;&gt;"",$D321&lt;&gt;"",$E321&lt;&gt;"",$F321&lt;&gt;"",ISNUMBER($G321),$G321&gt;=1,ISNUMBER($H321),MOD($H321,1)=0,$H321&gt;=1,$H321&lt;=5,ISNUMBER($J321),MOD($J321,1)=0,$J321&gt;=1,$J321&lt;=5,ISNUMBER($L321),MOD($L321,1)=0,$L321&gt;=1,$L321&lt;=5,ISNUMBER($N321),$N321&gt;=0,$O321="",$P321&lt;&gt;"",$Q321&lt;&gt;"",$R321="runner_monotonic_complete"),"ScorableComplete",IF(AND($A321&lt;&gt;"",$B321&lt;&gt;"",$C321&lt;&gt;"",$D321&lt;&gt;"",$E321&lt;&gt;"",$F321&lt;&gt;"",ISNUMBER($G321),$G321&gt;=1,OR($O321="insufficient_source_evidence",$O321="operational_failure"),$H321="",$J321="",$L321="",$N321="",$Q321&lt;&gt;"",$R321="runner_monotonic_not_scorable"),"NotScorable","Partial")))</x:f>
        <x:v>Pending</x:v>
      </x:c>
    </x:row>
    <x:row r="322">
      <x:c r="A322" s="44"/>
      <x:c r="B322" s="44"/>
      <x:c r="C322" s="44"/>
      <x:c r="D322" s="44"/>
      <x:c r="E322" s="44"/>
      <x:c r="F322" s="44"/>
      <x:c r="G322" s="44"/>
      <x:c r="H322" s="44"/>
      <x:c r="I322" s="44"/>
      <x:c r="J322" s="44"/>
      <x:c r="K322" s="44"/>
      <x:c r="L322" s="44"/>
      <x:c r="M322" s="44"/>
      <x:c r="N322" s="50"/>
      <x:c r="O322" s="44"/>
      <x:c r="P322" s="53"/>
      <x:c r="Q322" s="53"/>
      <x:c r="R322" s="44"/>
      <x:c r="S322" s="47" t="str">
        <x:f>IF(COUNTA($H322:$R322)=0,"Pending",IF(AND($A322&lt;&gt;"",$B322&lt;&gt;"",$C322&lt;&gt;"",$D322&lt;&gt;"",$E322&lt;&gt;"",$F322&lt;&gt;"",ISNUMBER($G322),$G322&gt;=1,ISNUMBER($H322),MOD($H322,1)=0,$H322&gt;=1,$H322&lt;=5,ISNUMBER($J322),MOD($J322,1)=0,$J322&gt;=1,$J322&lt;=5,ISNUMBER($L322),MOD($L322,1)=0,$L322&gt;=1,$L322&lt;=5,ISNUMBER($N322),$N322&gt;=0,$O322="",$P322&lt;&gt;"",$Q322&lt;&gt;"",$R322="runner_monotonic_complete"),"ScorableComplete",IF(AND($A322&lt;&gt;"",$B322&lt;&gt;"",$C322&lt;&gt;"",$D322&lt;&gt;"",$E322&lt;&gt;"",$F322&lt;&gt;"",ISNUMBER($G322),$G322&gt;=1,OR($O322="insufficient_source_evidence",$O322="operational_failure"),$H322="",$J322="",$L322="",$N322="",$Q322&lt;&gt;"",$R322="runner_monotonic_not_scorable"),"NotScorable","Partial")))</x:f>
        <x:v>Pending</x:v>
      </x:c>
    </x:row>
    <x:row r="323">
      <x:c r="A323" s="44"/>
      <x:c r="B323" s="44"/>
      <x:c r="C323" s="44"/>
      <x:c r="D323" s="44"/>
      <x:c r="E323" s="44"/>
      <x:c r="F323" s="44"/>
      <x:c r="G323" s="44"/>
      <x:c r="H323" s="44"/>
      <x:c r="I323" s="44"/>
      <x:c r="J323" s="44"/>
      <x:c r="K323" s="44"/>
      <x:c r="L323" s="44"/>
      <x:c r="M323" s="44"/>
      <x:c r="N323" s="50"/>
      <x:c r="O323" s="44"/>
      <x:c r="P323" s="53"/>
      <x:c r="Q323" s="53"/>
      <x:c r="R323" s="44"/>
      <x:c r="S323" s="47" t="str">
        <x:f>IF(COUNTA($H323:$R323)=0,"Pending",IF(AND($A323&lt;&gt;"",$B323&lt;&gt;"",$C323&lt;&gt;"",$D323&lt;&gt;"",$E323&lt;&gt;"",$F323&lt;&gt;"",ISNUMBER($G323),$G323&gt;=1,ISNUMBER($H323),MOD($H323,1)=0,$H323&gt;=1,$H323&lt;=5,ISNUMBER($J323),MOD($J323,1)=0,$J323&gt;=1,$J323&lt;=5,ISNUMBER($L323),MOD($L323,1)=0,$L323&gt;=1,$L323&lt;=5,ISNUMBER($N323),$N323&gt;=0,$O323="",$P323&lt;&gt;"",$Q323&lt;&gt;"",$R323="runner_monotonic_complete"),"ScorableComplete",IF(AND($A323&lt;&gt;"",$B323&lt;&gt;"",$C323&lt;&gt;"",$D323&lt;&gt;"",$E323&lt;&gt;"",$F323&lt;&gt;"",ISNUMBER($G323),$G323&gt;=1,OR($O323="insufficient_source_evidence",$O323="operational_failure"),$H323="",$J323="",$L323="",$N323="",$Q323&lt;&gt;"",$R323="runner_monotonic_not_scorable"),"NotScorable","Partial")))</x:f>
        <x:v>Pending</x:v>
      </x:c>
    </x:row>
    <x:row r="324">
      <x:c r="A324" s="44"/>
      <x:c r="B324" s="44"/>
      <x:c r="C324" s="44"/>
      <x:c r="D324" s="44"/>
      <x:c r="E324" s="44"/>
      <x:c r="F324" s="44"/>
      <x:c r="G324" s="44"/>
      <x:c r="H324" s="44"/>
      <x:c r="I324" s="44"/>
      <x:c r="J324" s="44"/>
      <x:c r="K324" s="44"/>
      <x:c r="L324" s="44"/>
      <x:c r="M324" s="44"/>
      <x:c r="N324" s="50"/>
      <x:c r="O324" s="44"/>
      <x:c r="P324" s="53"/>
      <x:c r="Q324" s="53"/>
      <x:c r="R324" s="44"/>
      <x:c r="S324" s="47" t="str">
        <x:f>IF(COUNTA($H324:$R324)=0,"Pending",IF(AND($A324&lt;&gt;"",$B324&lt;&gt;"",$C324&lt;&gt;"",$D324&lt;&gt;"",$E324&lt;&gt;"",$F324&lt;&gt;"",ISNUMBER($G324),$G324&gt;=1,ISNUMBER($H324),MOD($H324,1)=0,$H324&gt;=1,$H324&lt;=5,ISNUMBER($J324),MOD($J324,1)=0,$J324&gt;=1,$J324&lt;=5,ISNUMBER($L324),MOD($L324,1)=0,$L324&gt;=1,$L324&lt;=5,ISNUMBER($N324),$N324&gt;=0,$O324="",$P324&lt;&gt;"",$Q324&lt;&gt;"",$R324="runner_monotonic_complete"),"ScorableComplete",IF(AND($A324&lt;&gt;"",$B324&lt;&gt;"",$C324&lt;&gt;"",$D324&lt;&gt;"",$E324&lt;&gt;"",$F324&lt;&gt;"",ISNUMBER($G324),$G324&gt;=1,OR($O324="insufficient_source_evidence",$O324="operational_failure"),$H324="",$J324="",$L324="",$N324="",$Q324&lt;&gt;"",$R324="runner_monotonic_not_scorable"),"NotScorable","Partial")))</x:f>
        <x:v>Pending</x:v>
      </x:c>
    </x:row>
    <x:row r="325">
      <x:c r="A325" s="44"/>
      <x:c r="B325" s="44"/>
      <x:c r="C325" s="44"/>
      <x:c r="D325" s="44"/>
      <x:c r="E325" s="44"/>
      <x:c r="F325" s="44"/>
      <x:c r="G325" s="44"/>
      <x:c r="H325" s="44"/>
      <x:c r="I325" s="44"/>
      <x:c r="J325" s="44"/>
      <x:c r="K325" s="44"/>
      <x:c r="L325" s="44"/>
      <x:c r="M325" s="44"/>
      <x:c r="N325" s="50"/>
      <x:c r="O325" s="44"/>
      <x:c r="P325" s="53"/>
      <x:c r="Q325" s="53"/>
      <x:c r="R325" s="44"/>
      <x:c r="S325" s="47" t="str">
        <x:f>IF(COUNTA($H325:$R325)=0,"Pending",IF(AND($A325&lt;&gt;"",$B325&lt;&gt;"",$C325&lt;&gt;"",$D325&lt;&gt;"",$E325&lt;&gt;"",$F325&lt;&gt;"",ISNUMBER($G325),$G325&gt;=1,ISNUMBER($H325),MOD($H325,1)=0,$H325&gt;=1,$H325&lt;=5,ISNUMBER($J325),MOD($J325,1)=0,$J325&gt;=1,$J325&lt;=5,ISNUMBER($L325),MOD($L325,1)=0,$L325&gt;=1,$L325&lt;=5,ISNUMBER($N325),$N325&gt;=0,$O325="",$P325&lt;&gt;"",$Q325&lt;&gt;"",$R325="runner_monotonic_complete"),"ScorableComplete",IF(AND($A325&lt;&gt;"",$B325&lt;&gt;"",$C325&lt;&gt;"",$D325&lt;&gt;"",$E325&lt;&gt;"",$F325&lt;&gt;"",ISNUMBER($G325),$G325&gt;=1,OR($O325="insufficient_source_evidence",$O325="operational_failure"),$H325="",$J325="",$L325="",$N325="",$Q325&lt;&gt;"",$R325="runner_monotonic_not_scorable"),"NotScorable","Partial")))</x:f>
        <x:v>Pending</x:v>
      </x:c>
    </x:row>
    <x:row r="326">
      <x:c r="A326" s="44"/>
      <x:c r="B326" s="44"/>
      <x:c r="C326" s="44"/>
      <x:c r="D326" s="44"/>
      <x:c r="E326" s="44"/>
      <x:c r="F326" s="44"/>
      <x:c r="G326" s="44"/>
      <x:c r="H326" s="44"/>
      <x:c r="I326" s="44"/>
      <x:c r="J326" s="44"/>
      <x:c r="K326" s="44"/>
      <x:c r="L326" s="44"/>
      <x:c r="M326" s="44"/>
      <x:c r="N326" s="50"/>
      <x:c r="O326" s="44"/>
      <x:c r="P326" s="53"/>
      <x:c r="Q326" s="53"/>
      <x:c r="R326" s="44"/>
      <x:c r="S326" s="47" t="str">
        <x:f>IF(COUNTA($H326:$R326)=0,"Pending",IF(AND($A326&lt;&gt;"",$B326&lt;&gt;"",$C326&lt;&gt;"",$D326&lt;&gt;"",$E326&lt;&gt;"",$F326&lt;&gt;"",ISNUMBER($G326),$G326&gt;=1,ISNUMBER($H326),MOD($H326,1)=0,$H326&gt;=1,$H326&lt;=5,ISNUMBER($J326),MOD($J326,1)=0,$J326&gt;=1,$J326&lt;=5,ISNUMBER($L326),MOD($L326,1)=0,$L326&gt;=1,$L326&lt;=5,ISNUMBER($N326),$N326&gt;=0,$O326="",$P326&lt;&gt;"",$Q326&lt;&gt;"",$R326="runner_monotonic_complete"),"ScorableComplete",IF(AND($A326&lt;&gt;"",$B326&lt;&gt;"",$C326&lt;&gt;"",$D326&lt;&gt;"",$E326&lt;&gt;"",$F326&lt;&gt;"",ISNUMBER($G326),$G326&gt;=1,OR($O326="insufficient_source_evidence",$O326="operational_failure"),$H326="",$J326="",$L326="",$N326="",$Q326&lt;&gt;"",$R326="runner_monotonic_not_scorable"),"NotScorable","Partial")))</x:f>
        <x:v>Pending</x:v>
      </x:c>
    </x:row>
    <x:row r="327">
      <x:c r="A327" s="44"/>
      <x:c r="B327" s="44"/>
      <x:c r="C327" s="44"/>
      <x:c r="D327" s="44"/>
      <x:c r="E327" s="44"/>
      <x:c r="F327" s="44"/>
      <x:c r="G327" s="44"/>
      <x:c r="H327" s="44"/>
      <x:c r="I327" s="44"/>
      <x:c r="J327" s="44"/>
      <x:c r="K327" s="44"/>
      <x:c r="L327" s="44"/>
      <x:c r="M327" s="44"/>
      <x:c r="N327" s="50"/>
      <x:c r="O327" s="44"/>
      <x:c r="P327" s="53"/>
      <x:c r="Q327" s="53"/>
      <x:c r="R327" s="44"/>
      <x:c r="S327" s="47" t="str">
        <x:f>IF(COUNTA($H327:$R327)=0,"Pending",IF(AND($A327&lt;&gt;"",$B327&lt;&gt;"",$C327&lt;&gt;"",$D327&lt;&gt;"",$E327&lt;&gt;"",$F327&lt;&gt;"",ISNUMBER($G327),$G327&gt;=1,ISNUMBER($H327),MOD($H327,1)=0,$H327&gt;=1,$H327&lt;=5,ISNUMBER($J327),MOD($J327,1)=0,$J327&gt;=1,$J327&lt;=5,ISNUMBER($L327),MOD($L327,1)=0,$L327&gt;=1,$L327&lt;=5,ISNUMBER($N327),$N327&gt;=0,$O327="",$P327&lt;&gt;"",$Q327&lt;&gt;"",$R327="runner_monotonic_complete"),"ScorableComplete",IF(AND($A327&lt;&gt;"",$B327&lt;&gt;"",$C327&lt;&gt;"",$D327&lt;&gt;"",$E327&lt;&gt;"",$F327&lt;&gt;"",ISNUMBER($G327),$G327&gt;=1,OR($O327="insufficient_source_evidence",$O327="operational_failure"),$H327="",$J327="",$L327="",$N327="",$Q327&lt;&gt;"",$R327="runner_monotonic_not_scorable"),"NotScorable","Partial")))</x:f>
        <x:v>Pending</x:v>
      </x:c>
    </x:row>
    <x:row r="328">
      <x:c r="A328" s="44"/>
      <x:c r="B328" s="44"/>
      <x:c r="C328" s="44"/>
      <x:c r="D328" s="44"/>
      <x:c r="E328" s="44"/>
      <x:c r="F328" s="44"/>
      <x:c r="G328" s="44"/>
      <x:c r="H328" s="44"/>
      <x:c r="I328" s="44"/>
      <x:c r="J328" s="44"/>
      <x:c r="K328" s="44"/>
      <x:c r="L328" s="44"/>
      <x:c r="M328" s="44"/>
      <x:c r="N328" s="50"/>
      <x:c r="O328" s="44"/>
      <x:c r="P328" s="53"/>
      <x:c r="Q328" s="53"/>
      <x:c r="R328" s="44"/>
      <x:c r="S328" s="47" t="str">
        <x:f>IF(COUNTA($H328:$R328)=0,"Pending",IF(AND($A328&lt;&gt;"",$B328&lt;&gt;"",$C328&lt;&gt;"",$D328&lt;&gt;"",$E328&lt;&gt;"",$F328&lt;&gt;"",ISNUMBER($G328),$G328&gt;=1,ISNUMBER($H328),MOD($H328,1)=0,$H328&gt;=1,$H328&lt;=5,ISNUMBER($J328),MOD($J328,1)=0,$J328&gt;=1,$J328&lt;=5,ISNUMBER($L328),MOD($L328,1)=0,$L328&gt;=1,$L328&lt;=5,ISNUMBER($N328),$N328&gt;=0,$O328="",$P328&lt;&gt;"",$Q328&lt;&gt;"",$R328="runner_monotonic_complete"),"ScorableComplete",IF(AND($A328&lt;&gt;"",$B328&lt;&gt;"",$C328&lt;&gt;"",$D328&lt;&gt;"",$E328&lt;&gt;"",$F328&lt;&gt;"",ISNUMBER($G328),$G328&gt;=1,OR($O328="insufficient_source_evidence",$O328="operational_failure"),$H328="",$J328="",$L328="",$N328="",$Q328&lt;&gt;"",$R328="runner_monotonic_not_scorable"),"NotScorable","Partial")))</x:f>
        <x:v>Pending</x:v>
      </x:c>
    </x:row>
    <x:row r="329">
      <x:c r="A329" s="44"/>
      <x:c r="B329" s="44"/>
      <x:c r="C329" s="44"/>
      <x:c r="D329" s="44"/>
      <x:c r="E329" s="44"/>
      <x:c r="F329" s="44"/>
      <x:c r="G329" s="44"/>
      <x:c r="H329" s="44"/>
      <x:c r="I329" s="44"/>
      <x:c r="J329" s="44"/>
      <x:c r="K329" s="44"/>
      <x:c r="L329" s="44"/>
      <x:c r="M329" s="44"/>
      <x:c r="N329" s="50"/>
      <x:c r="O329" s="44"/>
      <x:c r="P329" s="53"/>
      <x:c r="Q329" s="53"/>
      <x:c r="R329" s="44"/>
      <x:c r="S329" s="47" t="str">
        <x:f>IF(COUNTA($H329:$R329)=0,"Pending",IF(AND($A329&lt;&gt;"",$B329&lt;&gt;"",$C329&lt;&gt;"",$D329&lt;&gt;"",$E329&lt;&gt;"",$F329&lt;&gt;"",ISNUMBER($G329),$G329&gt;=1,ISNUMBER($H329),MOD($H329,1)=0,$H329&gt;=1,$H329&lt;=5,ISNUMBER($J329),MOD($J329,1)=0,$J329&gt;=1,$J329&lt;=5,ISNUMBER($L329),MOD($L329,1)=0,$L329&gt;=1,$L329&lt;=5,ISNUMBER($N329),$N329&gt;=0,$O329="",$P329&lt;&gt;"",$Q329&lt;&gt;"",$R329="runner_monotonic_complete"),"ScorableComplete",IF(AND($A329&lt;&gt;"",$B329&lt;&gt;"",$C329&lt;&gt;"",$D329&lt;&gt;"",$E329&lt;&gt;"",$F329&lt;&gt;"",ISNUMBER($G329),$G329&gt;=1,OR($O329="insufficient_source_evidence",$O329="operational_failure"),$H329="",$J329="",$L329="",$N329="",$Q329&lt;&gt;"",$R329="runner_monotonic_not_scorable"),"NotScorable","Partial")))</x:f>
        <x:v>Pending</x:v>
      </x:c>
    </x:row>
    <x:row r="330">
      <x:c r="A330" s="44"/>
      <x:c r="B330" s="44"/>
      <x:c r="C330" s="44"/>
      <x:c r="D330" s="44"/>
      <x:c r="E330" s="44"/>
      <x:c r="F330" s="44"/>
      <x:c r="G330" s="44"/>
      <x:c r="H330" s="44"/>
      <x:c r="I330" s="44"/>
      <x:c r="J330" s="44"/>
      <x:c r="K330" s="44"/>
      <x:c r="L330" s="44"/>
      <x:c r="M330" s="44"/>
      <x:c r="N330" s="50"/>
      <x:c r="O330" s="44"/>
      <x:c r="P330" s="53"/>
      <x:c r="Q330" s="53"/>
      <x:c r="R330" s="44"/>
      <x:c r="S330" s="47" t="str">
        <x:f>IF(COUNTA($H330:$R330)=0,"Pending",IF(AND($A330&lt;&gt;"",$B330&lt;&gt;"",$C330&lt;&gt;"",$D330&lt;&gt;"",$E330&lt;&gt;"",$F330&lt;&gt;"",ISNUMBER($G330),$G330&gt;=1,ISNUMBER($H330),MOD($H330,1)=0,$H330&gt;=1,$H330&lt;=5,ISNUMBER($J330),MOD($J330,1)=0,$J330&gt;=1,$J330&lt;=5,ISNUMBER($L330),MOD($L330,1)=0,$L330&gt;=1,$L330&lt;=5,ISNUMBER($N330),$N330&gt;=0,$O330="",$P330&lt;&gt;"",$Q330&lt;&gt;"",$R330="runner_monotonic_complete"),"ScorableComplete",IF(AND($A330&lt;&gt;"",$B330&lt;&gt;"",$C330&lt;&gt;"",$D330&lt;&gt;"",$E330&lt;&gt;"",$F330&lt;&gt;"",ISNUMBER($G330),$G330&gt;=1,OR($O330="insufficient_source_evidence",$O330="operational_failure"),$H330="",$J330="",$L330="",$N330="",$Q330&lt;&gt;"",$R330="runner_monotonic_not_scorable"),"NotScorable","Partial")))</x:f>
        <x:v>Pending</x:v>
      </x:c>
    </x:row>
    <x:row r="331">
      <x:c r="A331" s="44"/>
      <x:c r="B331" s="44"/>
      <x:c r="C331" s="44"/>
      <x:c r="D331" s="44"/>
      <x:c r="E331" s="44"/>
      <x:c r="F331" s="44"/>
      <x:c r="G331" s="44"/>
      <x:c r="H331" s="44"/>
      <x:c r="I331" s="44"/>
      <x:c r="J331" s="44"/>
      <x:c r="K331" s="44"/>
      <x:c r="L331" s="44"/>
      <x:c r="M331" s="44"/>
      <x:c r="N331" s="50"/>
      <x:c r="O331" s="44"/>
      <x:c r="P331" s="53"/>
      <x:c r="Q331" s="53"/>
      <x:c r="R331" s="44"/>
      <x:c r="S331" s="47" t="str">
        <x:f>IF(COUNTA($H331:$R331)=0,"Pending",IF(AND($A331&lt;&gt;"",$B331&lt;&gt;"",$C331&lt;&gt;"",$D331&lt;&gt;"",$E331&lt;&gt;"",$F331&lt;&gt;"",ISNUMBER($G331),$G331&gt;=1,ISNUMBER($H331),MOD($H331,1)=0,$H331&gt;=1,$H331&lt;=5,ISNUMBER($J331),MOD($J331,1)=0,$J331&gt;=1,$J331&lt;=5,ISNUMBER($L331),MOD($L331,1)=0,$L331&gt;=1,$L331&lt;=5,ISNUMBER($N331),$N331&gt;=0,$O331="",$P331&lt;&gt;"",$Q331&lt;&gt;"",$R331="runner_monotonic_complete"),"ScorableComplete",IF(AND($A331&lt;&gt;"",$B331&lt;&gt;"",$C331&lt;&gt;"",$D331&lt;&gt;"",$E331&lt;&gt;"",$F331&lt;&gt;"",ISNUMBER($G331),$G331&gt;=1,OR($O331="insufficient_source_evidence",$O331="operational_failure"),$H331="",$J331="",$L331="",$N331="",$Q331&lt;&gt;"",$R331="runner_monotonic_not_scorable"),"NotScorable","Partial")))</x:f>
        <x:v>Pending</x:v>
      </x:c>
    </x:row>
    <x:row r="332">
      <x:c r="A332" s="44"/>
      <x:c r="B332" s="44"/>
      <x:c r="C332" s="44"/>
      <x:c r="D332" s="44"/>
      <x:c r="E332" s="44"/>
      <x:c r="F332" s="44"/>
      <x:c r="G332" s="44"/>
      <x:c r="H332" s="44"/>
      <x:c r="I332" s="44"/>
      <x:c r="J332" s="44"/>
      <x:c r="K332" s="44"/>
      <x:c r="L332" s="44"/>
      <x:c r="M332" s="44"/>
      <x:c r="N332" s="50"/>
      <x:c r="O332" s="44"/>
      <x:c r="P332" s="53"/>
      <x:c r="Q332" s="53"/>
      <x:c r="R332" s="44"/>
      <x:c r="S332" s="47" t="str">
        <x:f>IF(COUNTA($H332:$R332)=0,"Pending",IF(AND($A332&lt;&gt;"",$B332&lt;&gt;"",$C332&lt;&gt;"",$D332&lt;&gt;"",$E332&lt;&gt;"",$F332&lt;&gt;"",ISNUMBER($G332),$G332&gt;=1,ISNUMBER($H332),MOD($H332,1)=0,$H332&gt;=1,$H332&lt;=5,ISNUMBER($J332),MOD($J332,1)=0,$J332&gt;=1,$J332&lt;=5,ISNUMBER($L332),MOD($L332,1)=0,$L332&gt;=1,$L332&lt;=5,ISNUMBER($N332),$N332&gt;=0,$O332="",$P332&lt;&gt;"",$Q332&lt;&gt;"",$R332="runner_monotonic_complete"),"ScorableComplete",IF(AND($A332&lt;&gt;"",$B332&lt;&gt;"",$C332&lt;&gt;"",$D332&lt;&gt;"",$E332&lt;&gt;"",$F332&lt;&gt;"",ISNUMBER($G332),$G332&gt;=1,OR($O332="insufficient_source_evidence",$O332="operational_failure"),$H332="",$J332="",$L332="",$N332="",$Q332&lt;&gt;"",$R332="runner_monotonic_not_scorable"),"NotScorable","Partial")))</x:f>
        <x:v>Pending</x:v>
      </x:c>
    </x:row>
    <x:row r="333">
      <x:c r="A333" s="44"/>
      <x:c r="B333" s="44"/>
      <x:c r="C333" s="44"/>
      <x:c r="D333" s="44"/>
      <x:c r="E333" s="44"/>
      <x:c r="F333" s="44"/>
      <x:c r="G333" s="44"/>
      <x:c r="H333" s="44"/>
      <x:c r="I333" s="44"/>
      <x:c r="J333" s="44"/>
      <x:c r="K333" s="44"/>
      <x:c r="L333" s="44"/>
      <x:c r="M333" s="44"/>
      <x:c r="N333" s="50"/>
      <x:c r="O333" s="44"/>
      <x:c r="P333" s="53"/>
      <x:c r="Q333" s="53"/>
      <x:c r="R333" s="44"/>
      <x:c r="S333" s="47" t="str">
        <x:f>IF(COUNTA($H333:$R333)=0,"Pending",IF(AND($A333&lt;&gt;"",$B333&lt;&gt;"",$C333&lt;&gt;"",$D333&lt;&gt;"",$E333&lt;&gt;"",$F333&lt;&gt;"",ISNUMBER($G333),$G333&gt;=1,ISNUMBER($H333),MOD($H333,1)=0,$H333&gt;=1,$H333&lt;=5,ISNUMBER($J333),MOD($J333,1)=0,$J333&gt;=1,$J333&lt;=5,ISNUMBER($L333),MOD($L333,1)=0,$L333&gt;=1,$L333&lt;=5,ISNUMBER($N333),$N333&gt;=0,$O333="",$P333&lt;&gt;"",$Q333&lt;&gt;"",$R333="runner_monotonic_complete"),"ScorableComplete",IF(AND($A333&lt;&gt;"",$B333&lt;&gt;"",$C333&lt;&gt;"",$D333&lt;&gt;"",$E333&lt;&gt;"",$F333&lt;&gt;"",ISNUMBER($G333),$G333&gt;=1,OR($O333="insufficient_source_evidence",$O333="operational_failure"),$H333="",$J333="",$L333="",$N333="",$Q333&lt;&gt;"",$R333="runner_monotonic_not_scorable"),"NotScorable","Partial")))</x:f>
        <x:v>Pending</x:v>
      </x:c>
    </x:row>
    <x:row r="334">
      <x:c r="A334" s="44"/>
      <x:c r="B334" s="44"/>
      <x:c r="C334" s="44"/>
      <x:c r="D334" s="44"/>
      <x:c r="E334" s="44"/>
      <x:c r="F334" s="44"/>
      <x:c r="G334" s="44"/>
      <x:c r="H334" s="44"/>
      <x:c r="I334" s="44"/>
      <x:c r="J334" s="44"/>
      <x:c r="K334" s="44"/>
      <x:c r="L334" s="44"/>
      <x:c r="M334" s="44"/>
      <x:c r="N334" s="50"/>
      <x:c r="O334" s="44"/>
      <x:c r="P334" s="53"/>
      <x:c r="Q334" s="53"/>
      <x:c r="R334" s="44"/>
      <x:c r="S334" s="47" t="str">
        <x:f>IF(COUNTA($H334:$R334)=0,"Pending",IF(AND($A334&lt;&gt;"",$B334&lt;&gt;"",$C334&lt;&gt;"",$D334&lt;&gt;"",$E334&lt;&gt;"",$F334&lt;&gt;"",ISNUMBER($G334),$G334&gt;=1,ISNUMBER($H334),MOD($H334,1)=0,$H334&gt;=1,$H334&lt;=5,ISNUMBER($J334),MOD($J334,1)=0,$J334&gt;=1,$J334&lt;=5,ISNUMBER($L334),MOD($L334,1)=0,$L334&gt;=1,$L334&lt;=5,ISNUMBER($N334),$N334&gt;=0,$O334="",$P334&lt;&gt;"",$Q334&lt;&gt;"",$R334="runner_monotonic_complete"),"ScorableComplete",IF(AND($A334&lt;&gt;"",$B334&lt;&gt;"",$C334&lt;&gt;"",$D334&lt;&gt;"",$E334&lt;&gt;"",$F334&lt;&gt;"",ISNUMBER($G334),$G334&gt;=1,OR($O334="insufficient_source_evidence",$O334="operational_failure"),$H334="",$J334="",$L334="",$N334="",$Q334&lt;&gt;"",$R334="runner_monotonic_not_scorable"),"NotScorable","Partial")))</x:f>
        <x:v>Pending</x:v>
      </x:c>
    </x:row>
    <x:row r="335">
      <x:c r="A335" s="44"/>
      <x:c r="B335" s="44"/>
      <x:c r="C335" s="44"/>
      <x:c r="D335" s="44"/>
      <x:c r="E335" s="44"/>
      <x:c r="F335" s="44"/>
      <x:c r="G335" s="44"/>
      <x:c r="H335" s="44"/>
      <x:c r="I335" s="44"/>
      <x:c r="J335" s="44"/>
      <x:c r="K335" s="44"/>
      <x:c r="L335" s="44"/>
      <x:c r="M335" s="44"/>
      <x:c r="N335" s="50"/>
      <x:c r="O335" s="44"/>
      <x:c r="P335" s="53"/>
      <x:c r="Q335" s="53"/>
      <x:c r="R335" s="44"/>
      <x:c r="S335" s="47" t="str">
        <x:f>IF(COUNTA($H335:$R335)=0,"Pending",IF(AND($A335&lt;&gt;"",$B335&lt;&gt;"",$C335&lt;&gt;"",$D335&lt;&gt;"",$E335&lt;&gt;"",$F335&lt;&gt;"",ISNUMBER($G335),$G335&gt;=1,ISNUMBER($H335),MOD($H335,1)=0,$H335&gt;=1,$H335&lt;=5,ISNUMBER($J335),MOD($J335,1)=0,$J335&gt;=1,$J335&lt;=5,ISNUMBER($L335),MOD($L335,1)=0,$L335&gt;=1,$L335&lt;=5,ISNUMBER($N335),$N335&gt;=0,$O335="",$P335&lt;&gt;"",$Q335&lt;&gt;"",$R335="runner_monotonic_complete"),"ScorableComplete",IF(AND($A335&lt;&gt;"",$B335&lt;&gt;"",$C335&lt;&gt;"",$D335&lt;&gt;"",$E335&lt;&gt;"",$F335&lt;&gt;"",ISNUMBER($G335),$G335&gt;=1,OR($O335="insufficient_source_evidence",$O335="operational_failure"),$H335="",$J335="",$L335="",$N335="",$Q335&lt;&gt;"",$R335="runner_monotonic_not_scorable"),"NotScorable","Partial")))</x:f>
        <x:v>Pending</x:v>
      </x:c>
    </x:row>
    <x:row r="336">
      <x:c r="A336" s="44"/>
      <x:c r="B336" s="44"/>
      <x:c r="C336" s="44"/>
      <x:c r="D336" s="44"/>
      <x:c r="E336" s="44"/>
      <x:c r="F336" s="44"/>
      <x:c r="G336" s="44"/>
      <x:c r="H336" s="44"/>
      <x:c r="I336" s="44"/>
      <x:c r="J336" s="44"/>
      <x:c r="K336" s="44"/>
      <x:c r="L336" s="44"/>
      <x:c r="M336" s="44"/>
      <x:c r="N336" s="50"/>
      <x:c r="O336" s="44"/>
      <x:c r="P336" s="53"/>
      <x:c r="Q336" s="53"/>
      <x:c r="R336" s="44"/>
      <x:c r="S336" s="47" t="str">
        <x:f>IF(COUNTA($H336:$R336)=0,"Pending",IF(AND($A336&lt;&gt;"",$B336&lt;&gt;"",$C336&lt;&gt;"",$D336&lt;&gt;"",$E336&lt;&gt;"",$F336&lt;&gt;"",ISNUMBER($G336),$G336&gt;=1,ISNUMBER($H336),MOD($H336,1)=0,$H336&gt;=1,$H336&lt;=5,ISNUMBER($J336),MOD($J336,1)=0,$J336&gt;=1,$J336&lt;=5,ISNUMBER($L336),MOD($L336,1)=0,$L336&gt;=1,$L336&lt;=5,ISNUMBER($N336),$N336&gt;=0,$O336="",$P336&lt;&gt;"",$Q336&lt;&gt;"",$R336="runner_monotonic_complete"),"ScorableComplete",IF(AND($A336&lt;&gt;"",$B336&lt;&gt;"",$C336&lt;&gt;"",$D336&lt;&gt;"",$E336&lt;&gt;"",$F336&lt;&gt;"",ISNUMBER($G336),$G336&gt;=1,OR($O336="insufficient_source_evidence",$O336="operational_failure"),$H336="",$J336="",$L336="",$N336="",$Q336&lt;&gt;"",$R336="runner_monotonic_not_scorable"),"NotScorable","Partial")))</x:f>
        <x:v>Pending</x:v>
      </x:c>
    </x:row>
    <x:row r="337">
      <x:c r="A337" s="44"/>
      <x:c r="B337" s="44"/>
      <x:c r="C337" s="44"/>
      <x:c r="D337" s="44"/>
      <x:c r="E337" s="44"/>
      <x:c r="F337" s="44"/>
      <x:c r="G337" s="44"/>
      <x:c r="H337" s="44"/>
      <x:c r="I337" s="44"/>
      <x:c r="J337" s="44"/>
      <x:c r="K337" s="44"/>
      <x:c r="L337" s="44"/>
      <x:c r="M337" s="44"/>
      <x:c r="N337" s="50"/>
      <x:c r="O337" s="44"/>
      <x:c r="P337" s="53"/>
      <x:c r="Q337" s="53"/>
      <x:c r="R337" s="44"/>
      <x:c r="S337" s="47" t="str">
        <x:f>IF(COUNTA($H337:$R337)=0,"Pending",IF(AND($A337&lt;&gt;"",$B337&lt;&gt;"",$C337&lt;&gt;"",$D337&lt;&gt;"",$E337&lt;&gt;"",$F337&lt;&gt;"",ISNUMBER($G337),$G337&gt;=1,ISNUMBER($H337),MOD($H337,1)=0,$H337&gt;=1,$H337&lt;=5,ISNUMBER($J337),MOD($J337,1)=0,$J337&gt;=1,$J337&lt;=5,ISNUMBER($L337),MOD($L337,1)=0,$L337&gt;=1,$L337&lt;=5,ISNUMBER($N337),$N337&gt;=0,$O337="",$P337&lt;&gt;"",$Q337&lt;&gt;"",$R337="runner_monotonic_complete"),"ScorableComplete",IF(AND($A337&lt;&gt;"",$B337&lt;&gt;"",$C337&lt;&gt;"",$D337&lt;&gt;"",$E337&lt;&gt;"",$F337&lt;&gt;"",ISNUMBER($G337),$G337&gt;=1,OR($O337="insufficient_source_evidence",$O337="operational_failure"),$H337="",$J337="",$L337="",$N337="",$Q337&lt;&gt;"",$R337="runner_monotonic_not_scorable"),"NotScorable","Partial")))</x:f>
        <x:v>Pending</x:v>
      </x:c>
    </x:row>
    <x:row r="338">
      <x:c r="A338" s="44"/>
      <x:c r="B338" s="44"/>
      <x:c r="C338" s="44"/>
      <x:c r="D338" s="44"/>
      <x:c r="E338" s="44"/>
      <x:c r="F338" s="44"/>
      <x:c r="G338" s="44"/>
      <x:c r="H338" s="44"/>
      <x:c r="I338" s="44"/>
      <x:c r="J338" s="44"/>
      <x:c r="K338" s="44"/>
      <x:c r="L338" s="44"/>
      <x:c r="M338" s="44"/>
      <x:c r="N338" s="50"/>
      <x:c r="O338" s="44"/>
      <x:c r="P338" s="53"/>
      <x:c r="Q338" s="53"/>
      <x:c r="R338" s="44"/>
      <x:c r="S338" s="47" t="str">
        <x:f>IF(COUNTA($H338:$R338)=0,"Pending",IF(AND($A338&lt;&gt;"",$B338&lt;&gt;"",$C338&lt;&gt;"",$D338&lt;&gt;"",$E338&lt;&gt;"",$F338&lt;&gt;"",ISNUMBER($G338),$G338&gt;=1,ISNUMBER($H338),MOD($H338,1)=0,$H338&gt;=1,$H338&lt;=5,ISNUMBER($J338),MOD($J338,1)=0,$J338&gt;=1,$J338&lt;=5,ISNUMBER($L338),MOD($L338,1)=0,$L338&gt;=1,$L338&lt;=5,ISNUMBER($N338),$N338&gt;=0,$O338="",$P338&lt;&gt;"",$Q338&lt;&gt;"",$R338="runner_monotonic_complete"),"ScorableComplete",IF(AND($A338&lt;&gt;"",$B338&lt;&gt;"",$C338&lt;&gt;"",$D338&lt;&gt;"",$E338&lt;&gt;"",$F338&lt;&gt;"",ISNUMBER($G338),$G338&gt;=1,OR($O338="insufficient_source_evidence",$O338="operational_failure"),$H338="",$J338="",$L338="",$N338="",$Q338&lt;&gt;"",$R338="runner_monotonic_not_scorable"),"NotScorable","Partial")))</x:f>
        <x:v>Pending</x:v>
      </x:c>
    </x:row>
    <x:row r="339">
      <x:c r="A339" s="44"/>
      <x:c r="B339" s="44"/>
      <x:c r="C339" s="44"/>
      <x:c r="D339" s="44"/>
      <x:c r="E339" s="44"/>
      <x:c r="F339" s="44"/>
      <x:c r="G339" s="44"/>
      <x:c r="H339" s="44"/>
      <x:c r="I339" s="44"/>
      <x:c r="J339" s="44"/>
      <x:c r="K339" s="44"/>
      <x:c r="L339" s="44"/>
      <x:c r="M339" s="44"/>
      <x:c r="N339" s="50"/>
      <x:c r="O339" s="44"/>
      <x:c r="P339" s="53"/>
      <x:c r="Q339" s="53"/>
      <x:c r="R339" s="44"/>
      <x:c r="S339" s="47" t="str">
        <x:f>IF(COUNTA($H339:$R339)=0,"Pending",IF(AND($A339&lt;&gt;"",$B339&lt;&gt;"",$C339&lt;&gt;"",$D339&lt;&gt;"",$E339&lt;&gt;"",$F339&lt;&gt;"",ISNUMBER($G339),$G339&gt;=1,ISNUMBER($H339),MOD($H339,1)=0,$H339&gt;=1,$H339&lt;=5,ISNUMBER($J339),MOD($J339,1)=0,$J339&gt;=1,$J339&lt;=5,ISNUMBER($L339),MOD($L339,1)=0,$L339&gt;=1,$L339&lt;=5,ISNUMBER($N339),$N339&gt;=0,$O339="",$P339&lt;&gt;"",$Q339&lt;&gt;"",$R339="runner_monotonic_complete"),"ScorableComplete",IF(AND($A339&lt;&gt;"",$B339&lt;&gt;"",$C339&lt;&gt;"",$D339&lt;&gt;"",$E339&lt;&gt;"",$F339&lt;&gt;"",ISNUMBER($G339),$G339&gt;=1,OR($O339="insufficient_source_evidence",$O339="operational_failure"),$H339="",$J339="",$L339="",$N339="",$Q339&lt;&gt;"",$R339="runner_monotonic_not_scorable"),"NotScorable","Partial")))</x:f>
        <x:v>Pending</x:v>
      </x:c>
    </x:row>
    <x:row r="340">
      <x:c r="A340" s="44"/>
      <x:c r="B340" s="44"/>
      <x:c r="C340" s="44"/>
      <x:c r="D340" s="44"/>
      <x:c r="E340" s="44"/>
      <x:c r="F340" s="44"/>
      <x:c r="G340" s="44"/>
      <x:c r="H340" s="44"/>
      <x:c r="I340" s="44"/>
      <x:c r="J340" s="44"/>
      <x:c r="K340" s="44"/>
      <x:c r="L340" s="44"/>
      <x:c r="M340" s="44"/>
      <x:c r="N340" s="50"/>
      <x:c r="O340" s="44"/>
      <x:c r="P340" s="53"/>
      <x:c r="Q340" s="53"/>
      <x:c r="R340" s="44"/>
      <x:c r="S340" s="47" t="str">
        <x:f>IF(COUNTA($H340:$R340)=0,"Pending",IF(AND($A340&lt;&gt;"",$B340&lt;&gt;"",$C340&lt;&gt;"",$D340&lt;&gt;"",$E340&lt;&gt;"",$F340&lt;&gt;"",ISNUMBER($G340),$G340&gt;=1,ISNUMBER($H340),MOD($H340,1)=0,$H340&gt;=1,$H340&lt;=5,ISNUMBER($J340),MOD($J340,1)=0,$J340&gt;=1,$J340&lt;=5,ISNUMBER($L340),MOD($L340,1)=0,$L340&gt;=1,$L340&lt;=5,ISNUMBER($N340),$N340&gt;=0,$O340="",$P340&lt;&gt;"",$Q340&lt;&gt;"",$R340="runner_monotonic_complete"),"ScorableComplete",IF(AND($A340&lt;&gt;"",$B340&lt;&gt;"",$C340&lt;&gt;"",$D340&lt;&gt;"",$E340&lt;&gt;"",$F340&lt;&gt;"",ISNUMBER($G340),$G340&gt;=1,OR($O340="insufficient_source_evidence",$O340="operational_failure"),$H340="",$J340="",$L340="",$N340="",$Q340&lt;&gt;"",$R340="runner_monotonic_not_scorable"),"NotScorable","Partial")))</x:f>
        <x:v>Pending</x:v>
      </x:c>
    </x:row>
    <x:row r="341">
      <x:c r="A341" s="44"/>
      <x:c r="B341" s="44"/>
      <x:c r="C341" s="44"/>
      <x:c r="D341" s="44"/>
      <x:c r="E341" s="44"/>
      <x:c r="F341" s="44"/>
      <x:c r="G341" s="44"/>
      <x:c r="H341" s="44"/>
      <x:c r="I341" s="44"/>
      <x:c r="J341" s="44"/>
      <x:c r="K341" s="44"/>
      <x:c r="L341" s="44"/>
      <x:c r="M341" s="44"/>
      <x:c r="N341" s="50"/>
      <x:c r="O341" s="44"/>
      <x:c r="P341" s="53"/>
      <x:c r="Q341" s="53"/>
      <x:c r="R341" s="44"/>
      <x:c r="S341" s="47" t="str">
        <x:f>IF(COUNTA($H341:$R341)=0,"Pending",IF(AND($A341&lt;&gt;"",$B341&lt;&gt;"",$C341&lt;&gt;"",$D341&lt;&gt;"",$E341&lt;&gt;"",$F341&lt;&gt;"",ISNUMBER($G341),$G341&gt;=1,ISNUMBER($H341),MOD($H341,1)=0,$H341&gt;=1,$H341&lt;=5,ISNUMBER($J341),MOD($J341,1)=0,$J341&gt;=1,$J341&lt;=5,ISNUMBER($L341),MOD($L341,1)=0,$L341&gt;=1,$L341&lt;=5,ISNUMBER($N341),$N341&gt;=0,$O341="",$P341&lt;&gt;"",$Q341&lt;&gt;"",$R341="runner_monotonic_complete"),"ScorableComplete",IF(AND($A341&lt;&gt;"",$B341&lt;&gt;"",$C341&lt;&gt;"",$D341&lt;&gt;"",$E341&lt;&gt;"",$F341&lt;&gt;"",ISNUMBER($G341),$G341&gt;=1,OR($O341="insufficient_source_evidence",$O341="operational_failure"),$H341="",$J341="",$L341="",$N341="",$Q341&lt;&gt;"",$R341="runner_monotonic_not_scorable"),"NotScorable","Partial")))</x:f>
        <x:v>Pending</x:v>
      </x:c>
    </x:row>
    <x:row r="342">
      <x:c r="A342" s="44"/>
      <x:c r="B342" s="44"/>
      <x:c r="C342" s="44"/>
      <x:c r="D342" s="44"/>
      <x:c r="E342" s="44"/>
      <x:c r="F342" s="44"/>
      <x:c r="G342" s="44"/>
      <x:c r="H342" s="44"/>
      <x:c r="I342" s="44"/>
      <x:c r="J342" s="44"/>
      <x:c r="K342" s="44"/>
      <x:c r="L342" s="44"/>
      <x:c r="M342" s="44"/>
      <x:c r="N342" s="50"/>
      <x:c r="O342" s="44"/>
      <x:c r="P342" s="53"/>
      <x:c r="Q342" s="53"/>
      <x:c r="R342" s="44"/>
      <x:c r="S342" s="47" t="str">
        <x:f>IF(COUNTA($H342:$R342)=0,"Pending",IF(AND($A342&lt;&gt;"",$B342&lt;&gt;"",$C342&lt;&gt;"",$D342&lt;&gt;"",$E342&lt;&gt;"",$F342&lt;&gt;"",ISNUMBER($G342),$G342&gt;=1,ISNUMBER($H342),MOD($H342,1)=0,$H342&gt;=1,$H342&lt;=5,ISNUMBER($J342),MOD($J342,1)=0,$J342&gt;=1,$J342&lt;=5,ISNUMBER($L342),MOD($L342,1)=0,$L342&gt;=1,$L342&lt;=5,ISNUMBER($N342),$N342&gt;=0,$O342="",$P342&lt;&gt;"",$Q342&lt;&gt;"",$R342="runner_monotonic_complete"),"ScorableComplete",IF(AND($A342&lt;&gt;"",$B342&lt;&gt;"",$C342&lt;&gt;"",$D342&lt;&gt;"",$E342&lt;&gt;"",$F342&lt;&gt;"",ISNUMBER($G342),$G342&gt;=1,OR($O342="insufficient_source_evidence",$O342="operational_failure"),$H342="",$J342="",$L342="",$N342="",$Q342&lt;&gt;"",$R342="runner_monotonic_not_scorable"),"NotScorable","Partial")))</x:f>
        <x:v>Pending</x:v>
      </x:c>
    </x:row>
    <x:row r="343">
      <x:c r="A343" s="44"/>
      <x:c r="B343" s="44"/>
      <x:c r="C343" s="44"/>
      <x:c r="D343" s="44"/>
      <x:c r="E343" s="44"/>
      <x:c r="F343" s="44"/>
      <x:c r="G343" s="44"/>
      <x:c r="H343" s="44"/>
      <x:c r="I343" s="44"/>
      <x:c r="J343" s="44"/>
      <x:c r="K343" s="44"/>
      <x:c r="L343" s="44"/>
      <x:c r="M343" s="44"/>
      <x:c r="N343" s="50"/>
      <x:c r="O343" s="44"/>
      <x:c r="P343" s="53"/>
      <x:c r="Q343" s="53"/>
      <x:c r="R343" s="44"/>
      <x:c r="S343" s="47" t="str">
        <x:f>IF(COUNTA($H343:$R343)=0,"Pending",IF(AND($A343&lt;&gt;"",$B343&lt;&gt;"",$C343&lt;&gt;"",$D343&lt;&gt;"",$E343&lt;&gt;"",$F343&lt;&gt;"",ISNUMBER($G343),$G343&gt;=1,ISNUMBER($H343),MOD($H343,1)=0,$H343&gt;=1,$H343&lt;=5,ISNUMBER($J343),MOD($J343,1)=0,$J343&gt;=1,$J343&lt;=5,ISNUMBER($L343),MOD($L343,1)=0,$L343&gt;=1,$L343&lt;=5,ISNUMBER($N343),$N343&gt;=0,$O343="",$P343&lt;&gt;"",$Q343&lt;&gt;"",$R343="runner_monotonic_complete"),"ScorableComplete",IF(AND($A343&lt;&gt;"",$B343&lt;&gt;"",$C343&lt;&gt;"",$D343&lt;&gt;"",$E343&lt;&gt;"",$F343&lt;&gt;"",ISNUMBER($G343),$G343&gt;=1,OR($O343="insufficient_source_evidence",$O343="operational_failure"),$H343="",$J343="",$L343="",$N343="",$Q343&lt;&gt;"",$R343="runner_monotonic_not_scorable"),"NotScorable","Partial")))</x:f>
        <x:v>Pending</x:v>
      </x:c>
    </x:row>
    <x:row r="344">
      <x:c r="A344" s="44"/>
      <x:c r="B344" s="44"/>
      <x:c r="C344" s="44"/>
      <x:c r="D344" s="44"/>
      <x:c r="E344" s="44"/>
      <x:c r="F344" s="44"/>
      <x:c r="G344" s="44"/>
      <x:c r="H344" s="44"/>
      <x:c r="I344" s="44"/>
      <x:c r="J344" s="44"/>
      <x:c r="K344" s="44"/>
      <x:c r="L344" s="44"/>
      <x:c r="M344" s="44"/>
      <x:c r="N344" s="50"/>
      <x:c r="O344" s="44"/>
      <x:c r="P344" s="53"/>
      <x:c r="Q344" s="53"/>
      <x:c r="R344" s="44"/>
      <x:c r="S344" s="47" t="str">
        <x:f>IF(COUNTA($H344:$R344)=0,"Pending",IF(AND($A344&lt;&gt;"",$B344&lt;&gt;"",$C344&lt;&gt;"",$D344&lt;&gt;"",$E344&lt;&gt;"",$F344&lt;&gt;"",ISNUMBER($G344),$G344&gt;=1,ISNUMBER($H344),MOD($H344,1)=0,$H344&gt;=1,$H344&lt;=5,ISNUMBER($J344),MOD($J344,1)=0,$J344&gt;=1,$J344&lt;=5,ISNUMBER($L344),MOD($L344,1)=0,$L344&gt;=1,$L344&lt;=5,ISNUMBER($N344),$N344&gt;=0,$O344="",$P344&lt;&gt;"",$Q344&lt;&gt;"",$R344="runner_monotonic_complete"),"ScorableComplete",IF(AND($A344&lt;&gt;"",$B344&lt;&gt;"",$C344&lt;&gt;"",$D344&lt;&gt;"",$E344&lt;&gt;"",$F344&lt;&gt;"",ISNUMBER($G344),$G344&gt;=1,OR($O344="insufficient_source_evidence",$O344="operational_failure"),$H344="",$J344="",$L344="",$N344="",$Q344&lt;&gt;"",$R344="runner_monotonic_not_scorable"),"NotScorable","Partial")))</x:f>
        <x:v>Pending</x:v>
      </x:c>
    </x:row>
    <x:row r="345">
      <x:c r="A345" s="44"/>
      <x:c r="B345" s="44"/>
      <x:c r="C345" s="44"/>
      <x:c r="D345" s="44"/>
      <x:c r="E345" s="44"/>
      <x:c r="F345" s="44"/>
      <x:c r="G345" s="44"/>
      <x:c r="H345" s="44"/>
      <x:c r="I345" s="44"/>
      <x:c r="J345" s="44"/>
      <x:c r="K345" s="44"/>
      <x:c r="L345" s="44"/>
      <x:c r="M345" s="44"/>
      <x:c r="N345" s="50"/>
      <x:c r="O345" s="44"/>
      <x:c r="P345" s="53"/>
      <x:c r="Q345" s="53"/>
      <x:c r="R345" s="44"/>
      <x:c r="S345" s="47" t="str">
        <x:f>IF(COUNTA($H345:$R345)=0,"Pending",IF(AND($A345&lt;&gt;"",$B345&lt;&gt;"",$C345&lt;&gt;"",$D345&lt;&gt;"",$E345&lt;&gt;"",$F345&lt;&gt;"",ISNUMBER($G345),$G345&gt;=1,ISNUMBER($H345),MOD($H345,1)=0,$H345&gt;=1,$H345&lt;=5,ISNUMBER($J345),MOD($J345,1)=0,$J345&gt;=1,$J345&lt;=5,ISNUMBER($L345),MOD($L345,1)=0,$L345&gt;=1,$L345&lt;=5,ISNUMBER($N345),$N345&gt;=0,$O345="",$P345&lt;&gt;"",$Q345&lt;&gt;"",$R345="runner_monotonic_complete"),"ScorableComplete",IF(AND($A345&lt;&gt;"",$B345&lt;&gt;"",$C345&lt;&gt;"",$D345&lt;&gt;"",$E345&lt;&gt;"",$F345&lt;&gt;"",ISNUMBER($G345),$G345&gt;=1,OR($O345="insufficient_source_evidence",$O345="operational_failure"),$H345="",$J345="",$L345="",$N345="",$Q345&lt;&gt;"",$R345="runner_monotonic_not_scorable"),"NotScorable","Partial")))</x:f>
        <x:v>Pending</x:v>
      </x:c>
    </x:row>
    <x:row r="346">
      <x:c r="A346" s="44"/>
      <x:c r="B346" s="44"/>
      <x:c r="C346" s="44"/>
      <x:c r="D346" s="44"/>
      <x:c r="E346" s="44"/>
      <x:c r="F346" s="44"/>
      <x:c r="G346" s="44"/>
      <x:c r="H346" s="44"/>
      <x:c r="I346" s="44"/>
      <x:c r="J346" s="44"/>
      <x:c r="K346" s="44"/>
      <x:c r="L346" s="44"/>
      <x:c r="M346" s="44"/>
      <x:c r="N346" s="50"/>
      <x:c r="O346" s="44"/>
      <x:c r="P346" s="53"/>
      <x:c r="Q346" s="53"/>
      <x:c r="R346" s="44"/>
      <x:c r="S346" s="47" t="str">
        <x:f>IF(COUNTA($H346:$R346)=0,"Pending",IF(AND($A346&lt;&gt;"",$B346&lt;&gt;"",$C346&lt;&gt;"",$D346&lt;&gt;"",$E346&lt;&gt;"",$F346&lt;&gt;"",ISNUMBER($G346),$G346&gt;=1,ISNUMBER($H346),MOD($H346,1)=0,$H346&gt;=1,$H346&lt;=5,ISNUMBER($J346),MOD($J346,1)=0,$J346&gt;=1,$J346&lt;=5,ISNUMBER($L346),MOD($L346,1)=0,$L346&gt;=1,$L346&lt;=5,ISNUMBER($N346),$N346&gt;=0,$O346="",$P346&lt;&gt;"",$Q346&lt;&gt;"",$R346="runner_monotonic_complete"),"ScorableComplete",IF(AND($A346&lt;&gt;"",$B346&lt;&gt;"",$C346&lt;&gt;"",$D346&lt;&gt;"",$E346&lt;&gt;"",$F346&lt;&gt;"",ISNUMBER($G346),$G346&gt;=1,OR($O346="insufficient_source_evidence",$O346="operational_failure"),$H346="",$J346="",$L346="",$N346="",$Q346&lt;&gt;"",$R346="runner_monotonic_not_scorable"),"NotScorable","Partial")))</x:f>
        <x:v>Pending</x:v>
      </x:c>
    </x:row>
    <x:row r="347">
      <x:c r="A347" s="44"/>
      <x:c r="B347" s="44"/>
      <x:c r="C347" s="44"/>
      <x:c r="D347" s="44"/>
      <x:c r="E347" s="44"/>
      <x:c r="F347" s="44"/>
      <x:c r="G347" s="44"/>
      <x:c r="H347" s="44"/>
      <x:c r="I347" s="44"/>
      <x:c r="J347" s="44"/>
      <x:c r="K347" s="44"/>
      <x:c r="L347" s="44"/>
      <x:c r="M347" s="44"/>
      <x:c r="N347" s="50"/>
      <x:c r="O347" s="44"/>
      <x:c r="P347" s="53"/>
      <x:c r="Q347" s="53"/>
      <x:c r="R347" s="44"/>
      <x:c r="S347" s="47" t="str">
        <x:f>IF(COUNTA($H347:$R347)=0,"Pending",IF(AND($A347&lt;&gt;"",$B347&lt;&gt;"",$C347&lt;&gt;"",$D347&lt;&gt;"",$E347&lt;&gt;"",$F347&lt;&gt;"",ISNUMBER($G347),$G347&gt;=1,ISNUMBER($H347),MOD($H347,1)=0,$H347&gt;=1,$H347&lt;=5,ISNUMBER($J347),MOD($J347,1)=0,$J347&gt;=1,$J347&lt;=5,ISNUMBER($L347),MOD($L347,1)=0,$L347&gt;=1,$L347&lt;=5,ISNUMBER($N347),$N347&gt;=0,$O347="",$P347&lt;&gt;"",$Q347&lt;&gt;"",$R347="runner_monotonic_complete"),"ScorableComplete",IF(AND($A347&lt;&gt;"",$B347&lt;&gt;"",$C347&lt;&gt;"",$D347&lt;&gt;"",$E347&lt;&gt;"",$F347&lt;&gt;"",ISNUMBER($G347),$G347&gt;=1,OR($O347="insufficient_source_evidence",$O347="operational_failure"),$H347="",$J347="",$L347="",$N347="",$Q347&lt;&gt;"",$R347="runner_monotonic_not_scorable"),"NotScorable","Partial")))</x:f>
        <x:v>Pending</x:v>
      </x:c>
    </x:row>
    <x:row r="348">
      <x:c r="A348" s="44"/>
      <x:c r="B348" s="44"/>
      <x:c r="C348" s="44"/>
      <x:c r="D348" s="44"/>
      <x:c r="E348" s="44"/>
      <x:c r="F348" s="44"/>
      <x:c r="G348" s="44"/>
      <x:c r="H348" s="44"/>
      <x:c r="I348" s="44"/>
      <x:c r="J348" s="44"/>
      <x:c r="K348" s="44"/>
      <x:c r="L348" s="44"/>
      <x:c r="M348" s="44"/>
      <x:c r="N348" s="50"/>
      <x:c r="O348" s="44"/>
      <x:c r="P348" s="53"/>
      <x:c r="Q348" s="53"/>
      <x:c r="R348" s="44"/>
      <x:c r="S348" s="47" t="str">
        <x:f>IF(COUNTA($H348:$R348)=0,"Pending",IF(AND($A348&lt;&gt;"",$B348&lt;&gt;"",$C348&lt;&gt;"",$D348&lt;&gt;"",$E348&lt;&gt;"",$F348&lt;&gt;"",ISNUMBER($G348),$G348&gt;=1,ISNUMBER($H348),MOD($H348,1)=0,$H348&gt;=1,$H348&lt;=5,ISNUMBER($J348),MOD($J348,1)=0,$J348&gt;=1,$J348&lt;=5,ISNUMBER($L348),MOD($L348,1)=0,$L348&gt;=1,$L348&lt;=5,ISNUMBER($N348),$N348&gt;=0,$O348="",$P348&lt;&gt;"",$Q348&lt;&gt;"",$R348="runner_monotonic_complete"),"ScorableComplete",IF(AND($A348&lt;&gt;"",$B348&lt;&gt;"",$C348&lt;&gt;"",$D348&lt;&gt;"",$E348&lt;&gt;"",$F348&lt;&gt;"",ISNUMBER($G348),$G348&gt;=1,OR($O348="insufficient_source_evidence",$O348="operational_failure"),$H348="",$J348="",$L348="",$N348="",$Q348&lt;&gt;"",$R348="runner_monotonic_not_scorable"),"NotScorable","Partial")))</x:f>
        <x:v>Pending</x:v>
      </x:c>
    </x:row>
    <x:row r="349">
      <x:c r="A349" s="44"/>
      <x:c r="B349" s="44"/>
      <x:c r="C349" s="44"/>
      <x:c r="D349" s="44"/>
      <x:c r="E349" s="44"/>
      <x:c r="F349" s="44"/>
      <x:c r="G349" s="44"/>
      <x:c r="H349" s="44"/>
      <x:c r="I349" s="44"/>
      <x:c r="J349" s="44"/>
      <x:c r="K349" s="44"/>
      <x:c r="L349" s="44"/>
      <x:c r="M349" s="44"/>
      <x:c r="N349" s="50"/>
      <x:c r="O349" s="44"/>
      <x:c r="P349" s="53"/>
      <x:c r="Q349" s="53"/>
      <x:c r="R349" s="44"/>
      <x:c r="S349" s="47" t="str">
        <x:f>IF(COUNTA($H349:$R349)=0,"Pending",IF(AND($A349&lt;&gt;"",$B349&lt;&gt;"",$C349&lt;&gt;"",$D349&lt;&gt;"",$E349&lt;&gt;"",$F349&lt;&gt;"",ISNUMBER($G349),$G349&gt;=1,ISNUMBER($H349),MOD($H349,1)=0,$H349&gt;=1,$H349&lt;=5,ISNUMBER($J349),MOD($J349,1)=0,$J349&gt;=1,$J349&lt;=5,ISNUMBER($L349),MOD($L349,1)=0,$L349&gt;=1,$L349&lt;=5,ISNUMBER($N349),$N349&gt;=0,$O349="",$P349&lt;&gt;"",$Q349&lt;&gt;"",$R349="runner_monotonic_complete"),"ScorableComplete",IF(AND($A349&lt;&gt;"",$B349&lt;&gt;"",$C349&lt;&gt;"",$D349&lt;&gt;"",$E349&lt;&gt;"",$F349&lt;&gt;"",ISNUMBER($G349),$G349&gt;=1,OR($O349="insufficient_source_evidence",$O349="operational_failure"),$H349="",$J349="",$L349="",$N349="",$Q349&lt;&gt;"",$R349="runner_monotonic_not_scorable"),"NotScorable","Partial")))</x:f>
        <x:v>Pending</x:v>
      </x:c>
    </x:row>
    <x:row r="350">
      <x:c r="A350" s="44"/>
      <x:c r="B350" s="44"/>
      <x:c r="C350" s="44"/>
      <x:c r="D350" s="44"/>
      <x:c r="E350" s="44"/>
      <x:c r="F350" s="44"/>
      <x:c r="G350" s="44"/>
      <x:c r="H350" s="44"/>
      <x:c r="I350" s="44"/>
      <x:c r="J350" s="44"/>
      <x:c r="K350" s="44"/>
      <x:c r="L350" s="44"/>
      <x:c r="M350" s="44"/>
      <x:c r="N350" s="50"/>
      <x:c r="O350" s="44"/>
      <x:c r="P350" s="53"/>
      <x:c r="Q350" s="53"/>
      <x:c r="R350" s="44"/>
      <x:c r="S350" s="47" t="str">
        <x:f>IF(COUNTA($H350:$R350)=0,"Pending",IF(AND($A350&lt;&gt;"",$B350&lt;&gt;"",$C350&lt;&gt;"",$D350&lt;&gt;"",$E350&lt;&gt;"",$F350&lt;&gt;"",ISNUMBER($G350),$G350&gt;=1,ISNUMBER($H350),MOD($H350,1)=0,$H350&gt;=1,$H350&lt;=5,ISNUMBER($J350),MOD($J350,1)=0,$J350&gt;=1,$J350&lt;=5,ISNUMBER($L350),MOD($L350,1)=0,$L350&gt;=1,$L350&lt;=5,ISNUMBER($N350),$N350&gt;=0,$O350="",$P350&lt;&gt;"",$Q350&lt;&gt;"",$R350="runner_monotonic_complete"),"ScorableComplete",IF(AND($A350&lt;&gt;"",$B350&lt;&gt;"",$C350&lt;&gt;"",$D350&lt;&gt;"",$E350&lt;&gt;"",$F350&lt;&gt;"",ISNUMBER($G350),$G350&gt;=1,OR($O350="insufficient_source_evidence",$O350="operational_failure"),$H350="",$J350="",$L350="",$N350="",$Q350&lt;&gt;"",$R350="runner_monotonic_not_scorable"),"NotScorable","Partial")))</x:f>
        <x:v>Pending</x:v>
      </x:c>
    </x:row>
    <x:row r="351">
      <x:c r="A351" s="44"/>
      <x:c r="B351" s="44"/>
      <x:c r="C351" s="44"/>
      <x:c r="D351" s="44"/>
      <x:c r="E351" s="44"/>
      <x:c r="F351" s="44"/>
      <x:c r="G351" s="44"/>
      <x:c r="H351" s="44"/>
      <x:c r="I351" s="44"/>
      <x:c r="J351" s="44"/>
      <x:c r="K351" s="44"/>
      <x:c r="L351" s="44"/>
      <x:c r="M351" s="44"/>
      <x:c r="N351" s="50"/>
      <x:c r="O351" s="44"/>
      <x:c r="P351" s="53"/>
      <x:c r="Q351" s="53"/>
      <x:c r="R351" s="44"/>
      <x:c r="S351" s="47" t="str">
        <x:f>IF(COUNTA($H351:$R351)=0,"Pending",IF(AND($A351&lt;&gt;"",$B351&lt;&gt;"",$C351&lt;&gt;"",$D351&lt;&gt;"",$E351&lt;&gt;"",$F351&lt;&gt;"",ISNUMBER($G351),$G351&gt;=1,ISNUMBER($H351),MOD($H351,1)=0,$H351&gt;=1,$H351&lt;=5,ISNUMBER($J351),MOD($J351,1)=0,$J351&gt;=1,$J351&lt;=5,ISNUMBER($L351),MOD($L351,1)=0,$L351&gt;=1,$L351&lt;=5,ISNUMBER($N351),$N351&gt;=0,$O351="",$P351&lt;&gt;"",$Q351&lt;&gt;"",$R351="runner_monotonic_complete"),"ScorableComplete",IF(AND($A351&lt;&gt;"",$B351&lt;&gt;"",$C351&lt;&gt;"",$D351&lt;&gt;"",$E351&lt;&gt;"",$F351&lt;&gt;"",ISNUMBER($G351),$G351&gt;=1,OR($O351="insufficient_source_evidence",$O351="operational_failure"),$H351="",$J351="",$L351="",$N351="",$Q351&lt;&gt;"",$R351="runner_monotonic_not_scorable"),"NotScorable","Partial")))</x:f>
        <x:v>Pending</x:v>
      </x:c>
    </x:row>
    <x:row r="352">
      <x:c r="A352" s="44"/>
      <x:c r="B352" s="44"/>
      <x:c r="C352" s="44"/>
      <x:c r="D352" s="44"/>
      <x:c r="E352" s="44"/>
      <x:c r="F352" s="44"/>
      <x:c r="G352" s="44"/>
      <x:c r="H352" s="44"/>
      <x:c r="I352" s="44"/>
      <x:c r="J352" s="44"/>
      <x:c r="K352" s="44"/>
      <x:c r="L352" s="44"/>
      <x:c r="M352" s="44"/>
      <x:c r="N352" s="50"/>
      <x:c r="O352" s="44"/>
      <x:c r="P352" s="53"/>
      <x:c r="Q352" s="53"/>
      <x:c r="R352" s="44"/>
      <x:c r="S352" s="47" t="str">
        <x:f>IF(COUNTA($H352:$R352)=0,"Pending",IF(AND($A352&lt;&gt;"",$B352&lt;&gt;"",$C352&lt;&gt;"",$D352&lt;&gt;"",$E352&lt;&gt;"",$F352&lt;&gt;"",ISNUMBER($G352),$G352&gt;=1,ISNUMBER($H352),MOD($H352,1)=0,$H352&gt;=1,$H352&lt;=5,ISNUMBER($J352),MOD($J352,1)=0,$J352&gt;=1,$J352&lt;=5,ISNUMBER($L352),MOD($L352,1)=0,$L352&gt;=1,$L352&lt;=5,ISNUMBER($N352),$N352&gt;=0,$O352="",$P352&lt;&gt;"",$Q352&lt;&gt;"",$R352="runner_monotonic_complete"),"ScorableComplete",IF(AND($A352&lt;&gt;"",$B352&lt;&gt;"",$C352&lt;&gt;"",$D352&lt;&gt;"",$E352&lt;&gt;"",$F352&lt;&gt;"",ISNUMBER($G352),$G352&gt;=1,OR($O352="insufficient_source_evidence",$O352="operational_failure"),$H352="",$J352="",$L352="",$N352="",$Q352&lt;&gt;"",$R352="runner_monotonic_not_scorable"),"NotScorable","Partial")))</x:f>
        <x:v>Pending</x:v>
      </x:c>
    </x:row>
    <x:row r="353">
      <x:c r="A353" s="44"/>
      <x:c r="B353" s="44"/>
      <x:c r="C353" s="44"/>
      <x:c r="D353" s="44"/>
      <x:c r="E353" s="44"/>
      <x:c r="F353" s="44"/>
      <x:c r="G353" s="44"/>
      <x:c r="H353" s="44"/>
      <x:c r="I353" s="44"/>
      <x:c r="J353" s="44"/>
      <x:c r="K353" s="44"/>
      <x:c r="L353" s="44"/>
      <x:c r="M353" s="44"/>
      <x:c r="N353" s="50"/>
      <x:c r="O353" s="44"/>
      <x:c r="P353" s="53"/>
      <x:c r="Q353" s="53"/>
      <x:c r="R353" s="44"/>
      <x:c r="S353" s="47" t="str">
        <x:f>IF(COUNTA($H353:$R353)=0,"Pending",IF(AND($A353&lt;&gt;"",$B353&lt;&gt;"",$C353&lt;&gt;"",$D353&lt;&gt;"",$E353&lt;&gt;"",$F353&lt;&gt;"",ISNUMBER($G353),$G353&gt;=1,ISNUMBER($H353),MOD($H353,1)=0,$H353&gt;=1,$H353&lt;=5,ISNUMBER($J353),MOD($J353,1)=0,$J353&gt;=1,$J353&lt;=5,ISNUMBER($L353),MOD($L353,1)=0,$L353&gt;=1,$L353&lt;=5,ISNUMBER($N353),$N353&gt;=0,$O353="",$P353&lt;&gt;"",$Q353&lt;&gt;"",$R353="runner_monotonic_complete"),"ScorableComplete",IF(AND($A353&lt;&gt;"",$B353&lt;&gt;"",$C353&lt;&gt;"",$D353&lt;&gt;"",$E353&lt;&gt;"",$F353&lt;&gt;"",ISNUMBER($G353),$G353&gt;=1,OR($O353="insufficient_source_evidence",$O353="operational_failure"),$H353="",$J353="",$L353="",$N353="",$Q353&lt;&gt;"",$R353="runner_monotonic_not_scorable"),"NotScorable","Partial")))</x:f>
        <x:v>Pending</x:v>
      </x:c>
    </x:row>
    <x:row r="354">
      <x:c r="A354" s="44"/>
      <x:c r="B354" s="44"/>
      <x:c r="C354" s="44"/>
      <x:c r="D354" s="44"/>
      <x:c r="E354" s="44"/>
      <x:c r="F354" s="44"/>
      <x:c r="G354" s="44"/>
      <x:c r="H354" s="44"/>
      <x:c r="I354" s="44"/>
      <x:c r="J354" s="44"/>
      <x:c r="K354" s="44"/>
      <x:c r="L354" s="44"/>
      <x:c r="M354" s="44"/>
      <x:c r="N354" s="50"/>
      <x:c r="O354" s="44"/>
      <x:c r="P354" s="53"/>
      <x:c r="Q354" s="53"/>
      <x:c r="R354" s="44"/>
      <x:c r="S354" s="47" t="str">
        <x:f>IF(COUNTA($H354:$R354)=0,"Pending",IF(AND($A354&lt;&gt;"",$B354&lt;&gt;"",$C354&lt;&gt;"",$D354&lt;&gt;"",$E354&lt;&gt;"",$F354&lt;&gt;"",ISNUMBER($G354),$G354&gt;=1,ISNUMBER($H354),MOD($H354,1)=0,$H354&gt;=1,$H354&lt;=5,ISNUMBER($J354),MOD($J354,1)=0,$J354&gt;=1,$J354&lt;=5,ISNUMBER($L354),MOD($L354,1)=0,$L354&gt;=1,$L354&lt;=5,ISNUMBER($N354),$N354&gt;=0,$O354="",$P354&lt;&gt;"",$Q354&lt;&gt;"",$R354="runner_monotonic_complete"),"ScorableComplete",IF(AND($A354&lt;&gt;"",$B354&lt;&gt;"",$C354&lt;&gt;"",$D354&lt;&gt;"",$E354&lt;&gt;"",$F354&lt;&gt;"",ISNUMBER($G354),$G354&gt;=1,OR($O354="insufficient_source_evidence",$O354="operational_failure"),$H354="",$J354="",$L354="",$N354="",$Q354&lt;&gt;"",$R354="runner_monotonic_not_scorable"),"NotScorable","Partial")))</x:f>
        <x:v>Pending</x:v>
      </x:c>
    </x:row>
    <x:row r="355">
      <x:c r="A355" s="44"/>
      <x:c r="B355" s="44"/>
      <x:c r="C355" s="44"/>
      <x:c r="D355" s="44"/>
      <x:c r="E355" s="44"/>
      <x:c r="F355" s="44"/>
      <x:c r="G355" s="44"/>
      <x:c r="H355" s="44"/>
      <x:c r="I355" s="44"/>
      <x:c r="J355" s="44"/>
      <x:c r="K355" s="44"/>
      <x:c r="L355" s="44"/>
      <x:c r="M355" s="44"/>
      <x:c r="N355" s="50"/>
      <x:c r="O355" s="44"/>
      <x:c r="P355" s="53"/>
      <x:c r="Q355" s="53"/>
      <x:c r="R355" s="44"/>
      <x:c r="S355" s="47" t="str">
        <x:f>IF(COUNTA($H355:$R355)=0,"Pending",IF(AND($A355&lt;&gt;"",$B355&lt;&gt;"",$C355&lt;&gt;"",$D355&lt;&gt;"",$E355&lt;&gt;"",$F355&lt;&gt;"",ISNUMBER($G355),$G355&gt;=1,ISNUMBER($H355),MOD($H355,1)=0,$H355&gt;=1,$H355&lt;=5,ISNUMBER($J355),MOD($J355,1)=0,$J355&gt;=1,$J355&lt;=5,ISNUMBER($L355),MOD($L355,1)=0,$L355&gt;=1,$L355&lt;=5,ISNUMBER($N355),$N355&gt;=0,$O355="",$P355&lt;&gt;"",$Q355&lt;&gt;"",$R355="runner_monotonic_complete"),"ScorableComplete",IF(AND($A355&lt;&gt;"",$B355&lt;&gt;"",$C355&lt;&gt;"",$D355&lt;&gt;"",$E355&lt;&gt;"",$F355&lt;&gt;"",ISNUMBER($G355),$G355&gt;=1,OR($O355="insufficient_source_evidence",$O355="operational_failure"),$H355="",$J355="",$L355="",$N355="",$Q355&lt;&gt;"",$R355="runner_monotonic_not_scorable"),"NotScorable","Partial")))</x:f>
        <x:v>Pending</x:v>
      </x:c>
    </x:row>
    <x:row r="356">
      <x:c r="A356" s="44"/>
      <x:c r="B356" s="44"/>
      <x:c r="C356" s="44"/>
      <x:c r="D356" s="44"/>
      <x:c r="E356" s="44"/>
      <x:c r="F356" s="44"/>
      <x:c r="G356" s="44"/>
      <x:c r="H356" s="44"/>
      <x:c r="I356" s="44"/>
      <x:c r="J356" s="44"/>
      <x:c r="K356" s="44"/>
      <x:c r="L356" s="44"/>
      <x:c r="M356" s="44"/>
      <x:c r="N356" s="50"/>
      <x:c r="O356" s="44"/>
      <x:c r="P356" s="53"/>
      <x:c r="Q356" s="53"/>
      <x:c r="R356" s="44"/>
      <x:c r="S356" s="47" t="str">
        <x:f>IF(COUNTA($H356:$R356)=0,"Pending",IF(AND($A356&lt;&gt;"",$B356&lt;&gt;"",$C356&lt;&gt;"",$D356&lt;&gt;"",$E356&lt;&gt;"",$F356&lt;&gt;"",ISNUMBER($G356),$G356&gt;=1,ISNUMBER($H356),MOD($H356,1)=0,$H356&gt;=1,$H356&lt;=5,ISNUMBER($J356),MOD($J356,1)=0,$J356&gt;=1,$J356&lt;=5,ISNUMBER($L356),MOD($L356,1)=0,$L356&gt;=1,$L356&lt;=5,ISNUMBER($N356),$N356&gt;=0,$O356="",$P356&lt;&gt;"",$Q356&lt;&gt;"",$R356="runner_monotonic_complete"),"ScorableComplete",IF(AND($A356&lt;&gt;"",$B356&lt;&gt;"",$C356&lt;&gt;"",$D356&lt;&gt;"",$E356&lt;&gt;"",$F356&lt;&gt;"",ISNUMBER($G356),$G356&gt;=1,OR($O356="insufficient_source_evidence",$O356="operational_failure"),$H356="",$J356="",$L356="",$N356="",$Q356&lt;&gt;"",$R356="runner_monotonic_not_scorable"),"NotScorable","Partial")))</x:f>
        <x:v>Pending</x:v>
      </x:c>
    </x:row>
    <x:row r="357">
      <x:c r="A357" s="44"/>
      <x:c r="B357" s="44"/>
      <x:c r="C357" s="44"/>
      <x:c r="D357" s="44"/>
      <x:c r="E357" s="44"/>
      <x:c r="F357" s="44"/>
      <x:c r="G357" s="44"/>
      <x:c r="H357" s="44"/>
      <x:c r="I357" s="44"/>
      <x:c r="J357" s="44"/>
      <x:c r="K357" s="44"/>
      <x:c r="L357" s="44"/>
      <x:c r="M357" s="44"/>
      <x:c r="N357" s="50"/>
      <x:c r="O357" s="44"/>
      <x:c r="P357" s="53"/>
      <x:c r="Q357" s="53"/>
      <x:c r="R357" s="44"/>
      <x:c r="S357" s="47" t="str">
        <x:f>IF(COUNTA($H357:$R357)=0,"Pending",IF(AND($A357&lt;&gt;"",$B357&lt;&gt;"",$C357&lt;&gt;"",$D357&lt;&gt;"",$E357&lt;&gt;"",$F357&lt;&gt;"",ISNUMBER($G357),$G357&gt;=1,ISNUMBER($H357),MOD($H357,1)=0,$H357&gt;=1,$H357&lt;=5,ISNUMBER($J357),MOD($J357,1)=0,$J357&gt;=1,$J357&lt;=5,ISNUMBER($L357),MOD($L357,1)=0,$L357&gt;=1,$L357&lt;=5,ISNUMBER($N357),$N357&gt;=0,$O357="",$P357&lt;&gt;"",$Q357&lt;&gt;"",$R357="runner_monotonic_complete"),"ScorableComplete",IF(AND($A357&lt;&gt;"",$B357&lt;&gt;"",$C357&lt;&gt;"",$D357&lt;&gt;"",$E357&lt;&gt;"",$F357&lt;&gt;"",ISNUMBER($G357),$G357&gt;=1,OR($O357="insufficient_source_evidence",$O357="operational_failure"),$H357="",$J357="",$L357="",$N357="",$Q357&lt;&gt;"",$R357="runner_monotonic_not_scorable"),"NotScorable","Partial")))</x:f>
        <x:v>Pending</x:v>
      </x:c>
    </x:row>
    <x:row r="358">
      <x:c r="A358" s="44"/>
      <x:c r="B358" s="44"/>
      <x:c r="C358" s="44"/>
      <x:c r="D358" s="44"/>
      <x:c r="E358" s="44"/>
      <x:c r="F358" s="44"/>
      <x:c r="G358" s="44"/>
      <x:c r="H358" s="44"/>
      <x:c r="I358" s="44"/>
      <x:c r="J358" s="44"/>
      <x:c r="K358" s="44"/>
      <x:c r="L358" s="44"/>
      <x:c r="M358" s="44"/>
      <x:c r="N358" s="50"/>
      <x:c r="O358" s="44"/>
      <x:c r="P358" s="53"/>
      <x:c r="Q358" s="53"/>
      <x:c r="R358" s="44"/>
      <x:c r="S358" s="47" t="str">
        <x:f>IF(COUNTA($H358:$R358)=0,"Pending",IF(AND($A358&lt;&gt;"",$B358&lt;&gt;"",$C358&lt;&gt;"",$D358&lt;&gt;"",$E358&lt;&gt;"",$F358&lt;&gt;"",ISNUMBER($G358),$G358&gt;=1,ISNUMBER($H358),MOD($H358,1)=0,$H358&gt;=1,$H358&lt;=5,ISNUMBER($J358),MOD($J358,1)=0,$J358&gt;=1,$J358&lt;=5,ISNUMBER($L358),MOD($L358,1)=0,$L358&gt;=1,$L358&lt;=5,ISNUMBER($N358),$N358&gt;=0,$O358="",$P358&lt;&gt;"",$Q358&lt;&gt;"",$R358="runner_monotonic_complete"),"ScorableComplete",IF(AND($A358&lt;&gt;"",$B358&lt;&gt;"",$C358&lt;&gt;"",$D358&lt;&gt;"",$E358&lt;&gt;"",$F358&lt;&gt;"",ISNUMBER($G358),$G358&gt;=1,OR($O358="insufficient_source_evidence",$O358="operational_failure"),$H358="",$J358="",$L358="",$N358="",$Q358&lt;&gt;"",$R358="runner_monotonic_not_scorable"),"NotScorable","Partial")))</x:f>
        <x:v>Pending</x:v>
      </x:c>
    </x:row>
    <x:row r="359">
      <x:c r="A359" s="44"/>
      <x:c r="B359" s="44"/>
      <x:c r="C359" s="44"/>
      <x:c r="D359" s="44"/>
      <x:c r="E359" s="44"/>
      <x:c r="F359" s="44"/>
      <x:c r="G359" s="44"/>
      <x:c r="H359" s="44"/>
      <x:c r="I359" s="44"/>
      <x:c r="J359" s="44"/>
      <x:c r="K359" s="44"/>
      <x:c r="L359" s="44"/>
      <x:c r="M359" s="44"/>
      <x:c r="N359" s="50"/>
      <x:c r="O359" s="44"/>
      <x:c r="P359" s="53"/>
      <x:c r="Q359" s="53"/>
      <x:c r="R359" s="44"/>
      <x:c r="S359" s="47" t="str">
        <x:f>IF(COUNTA($H359:$R359)=0,"Pending",IF(AND($A359&lt;&gt;"",$B359&lt;&gt;"",$C359&lt;&gt;"",$D359&lt;&gt;"",$E359&lt;&gt;"",$F359&lt;&gt;"",ISNUMBER($G359),$G359&gt;=1,ISNUMBER($H359),MOD($H359,1)=0,$H359&gt;=1,$H359&lt;=5,ISNUMBER($J359),MOD($J359,1)=0,$J359&gt;=1,$J359&lt;=5,ISNUMBER($L359),MOD($L359,1)=0,$L359&gt;=1,$L359&lt;=5,ISNUMBER($N359),$N359&gt;=0,$O359="",$P359&lt;&gt;"",$Q359&lt;&gt;"",$R359="runner_monotonic_complete"),"ScorableComplete",IF(AND($A359&lt;&gt;"",$B359&lt;&gt;"",$C359&lt;&gt;"",$D359&lt;&gt;"",$E359&lt;&gt;"",$F359&lt;&gt;"",ISNUMBER($G359),$G359&gt;=1,OR($O359="insufficient_source_evidence",$O359="operational_failure"),$H359="",$J359="",$L359="",$N359="",$Q359&lt;&gt;"",$R359="runner_monotonic_not_scorable"),"NotScorable","Partial")))</x:f>
        <x:v>Pending</x:v>
      </x:c>
    </x:row>
    <x:row r="360">
      <x:c r="A360" s="44"/>
      <x:c r="B360" s="44"/>
      <x:c r="C360" s="44"/>
      <x:c r="D360" s="44"/>
      <x:c r="E360" s="44"/>
      <x:c r="F360" s="44"/>
      <x:c r="G360" s="44"/>
      <x:c r="H360" s="44"/>
      <x:c r="I360" s="44"/>
      <x:c r="J360" s="44"/>
      <x:c r="K360" s="44"/>
      <x:c r="L360" s="44"/>
      <x:c r="M360" s="44"/>
      <x:c r="N360" s="50"/>
      <x:c r="O360" s="44"/>
      <x:c r="P360" s="53"/>
      <x:c r="Q360" s="53"/>
      <x:c r="R360" s="44"/>
      <x:c r="S360" s="47" t="str">
        <x:f>IF(COUNTA($H360:$R360)=0,"Pending",IF(AND($A360&lt;&gt;"",$B360&lt;&gt;"",$C360&lt;&gt;"",$D360&lt;&gt;"",$E360&lt;&gt;"",$F360&lt;&gt;"",ISNUMBER($G360),$G360&gt;=1,ISNUMBER($H360),MOD($H360,1)=0,$H360&gt;=1,$H360&lt;=5,ISNUMBER($J360),MOD($J360,1)=0,$J360&gt;=1,$J360&lt;=5,ISNUMBER($L360),MOD($L360,1)=0,$L360&gt;=1,$L360&lt;=5,ISNUMBER($N360),$N360&gt;=0,$O360="",$P360&lt;&gt;"",$Q360&lt;&gt;"",$R360="runner_monotonic_complete"),"ScorableComplete",IF(AND($A360&lt;&gt;"",$B360&lt;&gt;"",$C360&lt;&gt;"",$D360&lt;&gt;"",$E360&lt;&gt;"",$F360&lt;&gt;"",ISNUMBER($G360),$G360&gt;=1,OR($O360="insufficient_source_evidence",$O360="operational_failure"),$H360="",$J360="",$L360="",$N360="",$Q360&lt;&gt;"",$R360="runner_monotonic_not_scorable"),"NotScorable","Partial")))</x:f>
        <x:v>Pending</x:v>
      </x:c>
    </x:row>
    <x:row r="361">
      <x:c r="A361" s="44"/>
      <x:c r="B361" s="44"/>
      <x:c r="C361" s="44"/>
      <x:c r="D361" s="44"/>
      <x:c r="E361" s="44"/>
      <x:c r="F361" s="44"/>
      <x:c r="G361" s="44"/>
      <x:c r="H361" s="44"/>
      <x:c r="I361" s="44"/>
      <x:c r="J361" s="44"/>
      <x:c r="K361" s="44"/>
      <x:c r="L361" s="44"/>
      <x:c r="M361" s="44"/>
      <x:c r="N361" s="50"/>
      <x:c r="O361" s="44"/>
      <x:c r="P361" s="53"/>
      <x:c r="Q361" s="53"/>
      <x:c r="R361" s="44"/>
      <x:c r="S361" s="47" t="str">
        <x:f>IF(COUNTA($H361:$R361)=0,"Pending",IF(AND($A361&lt;&gt;"",$B361&lt;&gt;"",$C361&lt;&gt;"",$D361&lt;&gt;"",$E361&lt;&gt;"",$F361&lt;&gt;"",ISNUMBER($G361),$G361&gt;=1,ISNUMBER($H361),MOD($H361,1)=0,$H361&gt;=1,$H361&lt;=5,ISNUMBER($J361),MOD($J361,1)=0,$J361&gt;=1,$J361&lt;=5,ISNUMBER($L361),MOD($L361,1)=0,$L361&gt;=1,$L361&lt;=5,ISNUMBER($N361),$N361&gt;=0,$O361="",$P361&lt;&gt;"",$Q361&lt;&gt;"",$R361="runner_monotonic_complete"),"ScorableComplete",IF(AND($A361&lt;&gt;"",$B361&lt;&gt;"",$C361&lt;&gt;"",$D361&lt;&gt;"",$E361&lt;&gt;"",$F361&lt;&gt;"",ISNUMBER($G361),$G361&gt;=1,OR($O361="insufficient_source_evidence",$O361="operational_failure"),$H361="",$J361="",$L361="",$N361="",$Q361&lt;&gt;"",$R361="runner_monotonic_not_scorable"),"NotScorable","Partial")))</x:f>
        <x:v>Pending</x:v>
      </x:c>
    </x:row>
    <x:row r="362">
      <x:c r="A362" s="44"/>
      <x:c r="B362" s="44"/>
      <x:c r="C362" s="44"/>
      <x:c r="D362" s="44"/>
      <x:c r="E362" s="44"/>
      <x:c r="F362" s="44"/>
      <x:c r="G362" s="44"/>
      <x:c r="H362" s="44"/>
      <x:c r="I362" s="44"/>
      <x:c r="J362" s="44"/>
      <x:c r="K362" s="44"/>
      <x:c r="L362" s="44"/>
      <x:c r="M362" s="44"/>
      <x:c r="N362" s="50"/>
      <x:c r="O362" s="44"/>
      <x:c r="P362" s="53"/>
      <x:c r="Q362" s="53"/>
      <x:c r="R362" s="44"/>
      <x:c r="S362" s="47" t="str">
        <x:f>IF(COUNTA($H362:$R362)=0,"Pending",IF(AND($A362&lt;&gt;"",$B362&lt;&gt;"",$C362&lt;&gt;"",$D362&lt;&gt;"",$E362&lt;&gt;"",$F362&lt;&gt;"",ISNUMBER($G362),$G362&gt;=1,ISNUMBER($H362),MOD($H362,1)=0,$H362&gt;=1,$H362&lt;=5,ISNUMBER($J362),MOD($J362,1)=0,$J362&gt;=1,$J362&lt;=5,ISNUMBER($L362),MOD($L362,1)=0,$L362&gt;=1,$L362&lt;=5,ISNUMBER($N362),$N362&gt;=0,$O362="",$P362&lt;&gt;"",$Q362&lt;&gt;"",$R362="runner_monotonic_complete"),"ScorableComplete",IF(AND($A362&lt;&gt;"",$B362&lt;&gt;"",$C362&lt;&gt;"",$D362&lt;&gt;"",$E362&lt;&gt;"",$F362&lt;&gt;"",ISNUMBER($G362),$G362&gt;=1,OR($O362="insufficient_source_evidence",$O362="operational_failure"),$H362="",$J362="",$L362="",$N362="",$Q362&lt;&gt;"",$R362="runner_monotonic_not_scorable"),"NotScorable","Partial")))</x:f>
        <x:v>Pending</x:v>
      </x:c>
    </x:row>
    <x:row r="363">
      <x:c r="A363" s="44"/>
      <x:c r="B363" s="44"/>
      <x:c r="C363" s="44"/>
      <x:c r="D363" s="44"/>
      <x:c r="E363" s="44"/>
      <x:c r="F363" s="44"/>
      <x:c r="G363" s="44"/>
      <x:c r="H363" s="44"/>
      <x:c r="I363" s="44"/>
      <x:c r="J363" s="44"/>
      <x:c r="K363" s="44"/>
      <x:c r="L363" s="44"/>
      <x:c r="M363" s="44"/>
      <x:c r="N363" s="50"/>
      <x:c r="O363" s="44"/>
      <x:c r="P363" s="53"/>
      <x:c r="Q363" s="53"/>
      <x:c r="R363" s="44"/>
      <x:c r="S363" s="47" t="str">
        <x:f>IF(COUNTA($H363:$R363)=0,"Pending",IF(AND($A363&lt;&gt;"",$B363&lt;&gt;"",$C363&lt;&gt;"",$D363&lt;&gt;"",$E363&lt;&gt;"",$F363&lt;&gt;"",ISNUMBER($G363),$G363&gt;=1,ISNUMBER($H363),MOD($H363,1)=0,$H363&gt;=1,$H363&lt;=5,ISNUMBER($J363),MOD($J363,1)=0,$J363&gt;=1,$J363&lt;=5,ISNUMBER($L363),MOD($L363,1)=0,$L363&gt;=1,$L363&lt;=5,ISNUMBER($N363),$N363&gt;=0,$O363="",$P363&lt;&gt;"",$Q363&lt;&gt;"",$R363="runner_monotonic_complete"),"ScorableComplete",IF(AND($A363&lt;&gt;"",$B363&lt;&gt;"",$C363&lt;&gt;"",$D363&lt;&gt;"",$E363&lt;&gt;"",$F363&lt;&gt;"",ISNUMBER($G363),$G363&gt;=1,OR($O363="insufficient_source_evidence",$O363="operational_failure"),$H363="",$J363="",$L363="",$N363="",$Q363&lt;&gt;"",$R363="runner_monotonic_not_scorable"),"NotScorable","Partial")))</x:f>
        <x:v>Pending</x:v>
      </x:c>
    </x:row>
    <x:row r="364">
      <x:c r="A364" s="44"/>
      <x:c r="B364" s="44"/>
      <x:c r="C364" s="44"/>
      <x:c r="D364" s="44"/>
      <x:c r="E364" s="44"/>
      <x:c r="F364" s="44"/>
      <x:c r="G364" s="44"/>
      <x:c r="H364" s="44"/>
      <x:c r="I364" s="44"/>
      <x:c r="J364" s="44"/>
      <x:c r="K364" s="44"/>
      <x:c r="L364" s="44"/>
      <x:c r="M364" s="44"/>
      <x:c r="N364" s="50"/>
      <x:c r="O364" s="44"/>
      <x:c r="P364" s="53"/>
      <x:c r="Q364" s="53"/>
      <x:c r="R364" s="44"/>
      <x:c r="S364" s="47" t="str">
        <x:f>IF(COUNTA($H364:$R364)=0,"Pending",IF(AND($A364&lt;&gt;"",$B364&lt;&gt;"",$C364&lt;&gt;"",$D364&lt;&gt;"",$E364&lt;&gt;"",$F364&lt;&gt;"",ISNUMBER($G364),$G364&gt;=1,ISNUMBER($H364),MOD($H364,1)=0,$H364&gt;=1,$H364&lt;=5,ISNUMBER($J364),MOD($J364,1)=0,$J364&gt;=1,$J364&lt;=5,ISNUMBER($L364),MOD($L364,1)=0,$L364&gt;=1,$L364&lt;=5,ISNUMBER($N364),$N364&gt;=0,$O364="",$P364&lt;&gt;"",$Q364&lt;&gt;"",$R364="runner_monotonic_complete"),"ScorableComplete",IF(AND($A364&lt;&gt;"",$B364&lt;&gt;"",$C364&lt;&gt;"",$D364&lt;&gt;"",$E364&lt;&gt;"",$F364&lt;&gt;"",ISNUMBER($G364),$G364&gt;=1,OR($O364="insufficient_source_evidence",$O364="operational_failure"),$H364="",$J364="",$L364="",$N364="",$Q364&lt;&gt;"",$R364="runner_monotonic_not_scorable"),"NotScorable","Partial")))</x:f>
        <x:v>Pending</x:v>
      </x:c>
    </x:row>
    <x:row r="365">
      <x:c r="A365" s="44"/>
      <x:c r="B365" s="44"/>
      <x:c r="C365" s="44"/>
      <x:c r="D365" s="44"/>
      <x:c r="E365" s="44"/>
      <x:c r="F365" s="44"/>
      <x:c r="G365" s="44"/>
      <x:c r="H365" s="44"/>
      <x:c r="I365" s="44"/>
      <x:c r="J365" s="44"/>
      <x:c r="K365" s="44"/>
      <x:c r="L365" s="44"/>
      <x:c r="M365" s="44"/>
      <x:c r="N365" s="50"/>
      <x:c r="O365" s="44"/>
      <x:c r="P365" s="53"/>
      <x:c r="Q365" s="53"/>
      <x:c r="R365" s="44"/>
      <x:c r="S365" s="47" t="str">
        <x:f>IF(COUNTA($H365:$R365)=0,"Pending",IF(AND($A365&lt;&gt;"",$B365&lt;&gt;"",$C365&lt;&gt;"",$D365&lt;&gt;"",$E365&lt;&gt;"",$F365&lt;&gt;"",ISNUMBER($G365),$G365&gt;=1,ISNUMBER($H365),MOD($H365,1)=0,$H365&gt;=1,$H365&lt;=5,ISNUMBER($J365),MOD($J365,1)=0,$J365&gt;=1,$J365&lt;=5,ISNUMBER($L365),MOD($L365,1)=0,$L365&gt;=1,$L365&lt;=5,ISNUMBER($N365),$N365&gt;=0,$O365="",$P365&lt;&gt;"",$Q365&lt;&gt;"",$R365="runner_monotonic_complete"),"ScorableComplete",IF(AND($A365&lt;&gt;"",$B365&lt;&gt;"",$C365&lt;&gt;"",$D365&lt;&gt;"",$E365&lt;&gt;"",$F365&lt;&gt;"",ISNUMBER($G365),$G365&gt;=1,OR($O365="insufficient_source_evidence",$O365="operational_failure"),$H365="",$J365="",$L365="",$N365="",$Q365&lt;&gt;"",$R365="runner_monotonic_not_scorable"),"NotScorable","Partial")))</x:f>
        <x:v>Pending</x:v>
      </x:c>
    </x:row>
    <x:row r="366">
      <x:c r="A366" s="44"/>
      <x:c r="B366" s="44"/>
      <x:c r="C366" s="44"/>
      <x:c r="D366" s="44"/>
      <x:c r="E366" s="44"/>
      <x:c r="F366" s="44"/>
      <x:c r="G366" s="44"/>
      <x:c r="H366" s="44"/>
      <x:c r="I366" s="44"/>
      <x:c r="J366" s="44"/>
      <x:c r="K366" s="44"/>
      <x:c r="L366" s="44"/>
      <x:c r="M366" s="44"/>
      <x:c r="N366" s="50"/>
      <x:c r="O366" s="44"/>
      <x:c r="P366" s="53"/>
      <x:c r="Q366" s="53"/>
      <x:c r="R366" s="44"/>
      <x:c r="S366" s="47" t="str">
        <x:f>IF(COUNTA($H366:$R366)=0,"Pending",IF(AND($A366&lt;&gt;"",$B366&lt;&gt;"",$C366&lt;&gt;"",$D366&lt;&gt;"",$E366&lt;&gt;"",$F366&lt;&gt;"",ISNUMBER($G366),$G366&gt;=1,ISNUMBER($H366),MOD($H366,1)=0,$H366&gt;=1,$H366&lt;=5,ISNUMBER($J366),MOD($J366,1)=0,$J366&gt;=1,$J366&lt;=5,ISNUMBER($L366),MOD($L366,1)=0,$L366&gt;=1,$L366&lt;=5,ISNUMBER($N366),$N366&gt;=0,$O366="",$P366&lt;&gt;"",$Q366&lt;&gt;"",$R366="runner_monotonic_complete"),"ScorableComplete",IF(AND($A366&lt;&gt;"",$B366&lt;&gt;"",$C366&lt;&gt;"",$D366&lt;&gt;"",$E366&lt;&gt;"",$F366&lt;&gt;"",ISNUMBER($G366),$G366&gt;=1,OR($O366="insufficient_source_evidence",$O366="operational_failure"),$H366="",$J366="",$L366="",$N366="",$Q366&lt;&gt;"",$R366="runner_monotonic_not_scorable"),"NotScorable","Partial")))</x:f>
        <x:v>Pending</x:v>
      </x:c>
    </x:row>
    <x:row r="367">
      <x:c r="A367" s="44"/>
      <x:c r="B367" s="44"/>
      <x:c r="C367" s="44"/>
      <x:c r="D367" s="44"/>
      <x:c r="E367" s="44"/>
      <x:c r="F367" s="44"/>
      <x:c r="G367" s="44"/>
      <x:c r="H367" s="44"/>
      <x:c r="I367" s="44"/>
      <x:c r="J367" s="44"/>
      <x:c r="K367" s="44"/>
      <x:c r="L367" s="44"/>
      <x:c r="M367" s="44"/>
      <x:c r="N367" s="50"/>
      <x:c r="O367" s="44"/>
      <x:c r="P367" s="53"/>
      <x:c r="Q367" s="53"/>
      <x:c r="R367" s="44"/>
      <x:c r="S367" s="47" t="str">
        <x:f>IF(COUNTA($H367:$R367)=0,"Pending",IF(AND($A367&lt;&gt;"",$B367&lt;&gt;"",$C367&lt;&gt;"",$D367&lt;&gt;"",$E367&lt;&gt;"",$F367&lt;&gt;"",ISNUMBER($G367),$G367&gt;=1,ISNUMBER($H367),MOD($H367,1)=0,$H367&gt;=1,$H367&lt;=5,ISNUMBER($J367),MOD($J367,1)=0,$J367&gt;=1,$J367&lt;=5,ISNUMBER($L367),MOD($L367,1)=0,$L367&gt;=1,$L367&lt;=5,ISNUMBER($N367),$N367&gt;=0,$O367="",$P367&lt;&gt;"",$Q367&lt;&gt;"",$R367="runner_monotonic_complete"),"ScorableComplete",IF(AND($A367&lt;&gt;"",$B367&lt;&gt;"",$C367&lt;&gt;"",$D367&lt;&gt;"",$E367&lt;&gt;"",$F367&lt;&gt;"",ISNUMBER($G367),$G367&gt;=1,OR($O367="insufficient_source_evidence",$O367="operational_failure"),$H367="",$J367="",$L367="",$N367="",$Q367&lt;&gt;"",$R367="runner_monotonic_not_scorable"),"NotScorable","Partial")))</x:f>
        <x:v>Pending</x:v>
      </x:c>
    </x:row>
    <x:row r="368">
      <x:c r="A368" s="44"/>
      <x:c r="B368" s="44"/>
      <x:c r="C368" s="44"/>
      <x:c r="D368" s="44"/>
      <x:c r="E368" s="44"/>
      <x:c r="F368" s="44"/>
      <x:c r="G368" s="44"/>
      <x:c r="H368" s="44"/>
      <x:c r="I368" s="44"/>
      <x:c r="J368" s="44"/>
      <x:c r="K368" s="44"/>
      <x:c r="L368" s="44"/>
      <x:c r="M368" s="44"/>
      <x:c r="N368" s="50"/>
      <x:c r="O368" s="44"/>
      <x:c r="P368" s="53"/>
      <x:c r="Q368" s="53"/>
      <x:c r="R368" s="44"/>
      <x:c r="S368" s="47" t="str">
        <x:f>IF(COUNTA($H368:$R368)=0,"Pending",IF(AND($A368&lt;&gt;"",$B368&lt;&gt;"",$C368&lt;&gt;"",$D368&lt;&gt;"",$E368&lt;&gt;"",$F368&lt;&gt;"",ISNUMBER($G368),$G368&gt;=1,ISNUMBER($H368),MOD($H368,1)=0,$H368&gt;=1,$H368&lt;=5,ISNUMBER($J368),MOD($J368,1)=0,$J368&gt;=1,$J368&lt;=5,ISNUMBER($L368),MOD($L368,1)=0,$L368&gt;=1,$L368&lt;=5,ISNUMBER($N368),$N368&gt;=0,$O368="",$P368&lt;&gt;"",$Q368&lt;&gt;"",$R368="runner_monotonic_complete"),"ScorableComplete",IF(AND($A368&lt;&gt;"",$B368&lt;&gt;"",$C368&lt;&gt;"",$D368&lt;&gt;"",$E368&lt;&gt;"",$F368&lt;&gt;"",ISNUMBER($G368),$G368&gt;=1,OR($O368="insufficient_source_evidence",$O368="operational_failure"),$H368="",$J368="",$L368="",$N368="",$Q368&lt;&gt;"",$R368="runner_monotonic_not_scorable"),"NotScorable","Partial")))</x:f>
        <x:v>Pending</x:v>
      </x:c>
    </x:row>
    <x:row r="369">
      <x:c r="A369" s="44"/>
      <x:c r="B369" s="44"/>
      <x:c r="C369" s="44"/>
      <x:c r="D369" s="44"/>
      <x:c r="E369" s="44"/>
      <x:c r="F369" s="44"/>
      <x:c r="G369" s="44"/>
      <x:c r="H369" s="44"/>
      <x:c r="I369" s="44"/>
      <x:c r="J369" s="44"/>
      <x:c r="K369" s="44"/>
      <x:c r="L369" s="44"/>
      <x:c r="M369" s="44"/>
      <x:c r="N369" s="50"/>
      <x:c r="O369" s="44"/>
      <x:c r="P369" s="53"/>
      <x:c r="Q369" s="53"/>
      <x:c r="R369" s="44"/>
      <x:c r="S369" s="47" t="str">
        <x:f>IF(COUNTA($H369:$R369)=0,"Pending",IF(AND($A369&lt;&gt;"",$B369&lt;&gt;"",$C369&lt;&gt;"",$D369&lt;&gt;"",$E369&lt;&gt;"",$F369&lt;&gt;"",ISNUMBER($G369),$G369&gt;=1,ISNUMBER($H369),MOD($H369,1)=0,$H369&gt;=1,$H369&lt;=5,ISNUMBER($J369),MOD($J369,1)=0,$J369&gt;=1,$J369&lt;=5,ISNUMBER($L369),MOD($L369,1)=0,$L369&gt;=1,$L369&lt;=5,ISNUMBER($N369),$N369&gt;=0,$O369="",$P369&lt;&gt;"",$Q369&lt;&gt;"",$R369="runner_monotonic_complete"),"ScorableComplete",IF(AND($A369&lt;&gt;"",$B369&lt;&gt;"",$C369&lt;&gt;"",$D369&lt;&gt;"",$E369&lt;&gt;"",$F369&lt;&gt;"",ISNUMBER($G369),$G369&gt;=1,OR($O369="insufficient_source_evidence",$O369="operational_failure"),$H369="",$J369="",$L369="",$N369="",$Q369&lt;&gt;"",$R369="runner_monotonic_not_scorable"),"NotScorable","Partial")))</x:f>
        <x:v>Pending</x:v>
      </x:c>
    </x:row>
    <x:row r="370">
      <x:c r="A370" s="44"/>
      <x:c r="B370" s="44"/>
      <x:c r="C370" s="44"/>
      <x:c r="D370" s="44"/>
      <x:c r="E370" s="44"/>
      <x:c r="F370" s="44"/>
      <x:c r="G370" s="44"/>
      <x:c r="H370" s="44"/>
      <x:c r="I370" s="44"/>
      <x:c r="J370" s="44"/>
      <x:c r="K370" s="44"/>
      <x:c r="L370" s="44"/>
      <x:c r="M370" s="44"/>
      <x:c r="N370" s="50"/>
      <x:c r="O370" s="44"/>
      <x:c r="P370" s="53"/>
      <x:c r="Q370" s="53"/>
      <x:c r="R370" s="44"/>
      <x:c r="S370" s="47" t="str">
        <x:f>IF(COUNTA($H370:$R370)=0,"Pending",IF(AND($A370&lt;&gt;"",$B370&lt;&gt;"",$C370&lt;&gt;"",$D370&lt;&gt;"",$E370&lt;&gt;"",$F370&lt;&gt;"",ISNUMBER($G370),$G370&gt;=1,ISNUMBER($H370),MOD($H370,1)=0,$H370&gt;=1,$H370&lt;=5,ISNUMBER($J370),MOD($J370,1)=0,$J370&gt;=1,$J370&lt;=5,ISNUMBER($L370),MOD($L370,1)=0,$L370&gt;=1,$L370&lt;=5,ISNUMBER($N370),$N370&gt;=0,$O370="",$P370&lt;&gt;"",$Q370&lt;&gt;"",$R370="runner_monotonic_complete"),"ScorableComplete",IF(AND($A370&lt;&gt;"",$B370&lt;&gt;"",$C370&lt;&gt;"",$D370&lt;&gt;"",$E370&lt;&gt;"",$F370&lt;&gt;"",ISNUMBER($G370),$G370&gt;=1,OR($O370="insufficient_source_evidence",$O370="operational_failure"),$H370="",$J370="",$L370="",$N370="",$Q370&lt;&gt;"",$R370="runner_monotonic_not_scorable"),"NotScorable","Partial")))</x:f>
        <x:v>Pending</x:v>
      </x:c>
    </x:row>
    <x:row r="371">
      <x:c r="A371" s="44"/>
      <x:c r="B371" s="44"/>
      <x:c r="C371" s="44"/>
      <x:c r="D371" s="44"/>
      <x:c r="E371" s="44"/>
      <x:c r="F371" s="44"/>
      <x:c r="G371" s="44"/>
      <x:c r="H371" s="44"/>
      <x:c r="I371" s="44"/>
      <x:c r="J371" s="44"/>
      <x:c r="K371" s="44"/>
      <x:c r="L371" s="44"/>
      <x:c r="M371" s="44"/>
      <x:c r="N371" s="50"/>
      <x:c r="O371" s="44"/>
      <x:c r="P371" s="53"/>
      <x:c r="Q371" s="53"/>
      <x:c r="R371" s="44"/>
      <x:c r="S371" s="47" t="str">
        <x:f>IF(COUNTA($H371:$R371)=0,"Pending",IF(AND($A371&lt;&gt;"",$B371&lt;&gt;"",$C371&lt;&gt;"",$D371&lt;&gt;"",$E371&lt;&gt;"",$F371&lt;&gt;"",ISNUMBER($G371),$G371&gt;=1,ISNUMBER($H371),MOD($H371,1)=0,$H371&gt;=1,$H371&lt;=5,ISNUMBER($J371),MOD($J371,1)=0,$J371&gt;=1,$J371&lt;=5,ISNUMBER($L371),MOD($L371,1)=0,$L371&gt;=1,$L371&lt;=5,ISNUMBER($N371),$N371&gt;=0,$O371="",$P371&lt;&gt;"",$Q371&lt;&gt;"",$R371="runner_monotonic_complete"),"ScorableComplete",IF(AND($A371&lt;&gt;"",$B371&lt;&gt;"",$C371&lt;&gt;"",$D371&lt;&gt;"",$E371&lt;&gt;"",$F371&lt;&gt;"",ISNUMBER($G371),$G371&gt;=1,OR($O371="insufficient_source_evidence",$O371="operational_failure"),$H371="",$J371="",$L371="",$N371="",$Q371&lt;&gt;"",$R371="runner_monotonic_not_scorable"),"NotScorable","Partial")))</x:f>
        <x:v>Pending</x:v>
      </x:c>
    </x:row>
    <x:row r="372">
      <x:c r="A372" s="44"/>
      <x:c r="B372" s="44"/>
      <x:c r="C372" s="44"/>
      <x:c r="D372" s="44"/>
      <x:c r="E372" s="44"/>
      <x:c r="F372" s="44"/>
      <x:c r="G372" s="44"/>
      <x:c r="H372" s="44"/>
      <x:c r="I372" s="44"/>
      <x:c r="J372" s="44"/>
      <x:c r="K372" s="44"/>
      <x:c r="L372" s="44"/>
      <x:c r="M372" s="44"/>
      <x:c r="N372" s="50"/>
      <x:c r="O372" s="44"/>
      <x:c r="P372" s="53"/>
      <x:c r="Q372" s="53"/>
      <x:c r="R372" s="44"/>
      <x:c r="S372" s="47" t="str">
        <x:f>IF(COUNTA($H372:$R372)=0,"Pending",IF(AND($A372&lt;&gt;"",$B372&lt;&gt;"",$C372&lt;&gt;"",$D372&lt;&gt;"",$E372&lt;&gt;"",$F372&lt;&gt;"",ISNUMBER($G372),$G372&gt;=1,ISNUMBER($H372),MOD($H372,1)=0,$H372&gt;=1,$H372&lt;=5,ISNUMBER($J372),MOD($J372,1)=0,$J372&gt;=1,$J372&lt;=5,ISNUMBER($L372),MOD($L372,1)=0,$L372&gt;=1,$L372&lt;=5,ISNUMBER($N372),$N372&gt;=0,$O372="",$P372&lt;&gt;"",$Q372&lt;&gt;"",$R372="runner_monotonic_complete"),"ScorableComplete",IF(AND($A372&lt;&gt;"",$B372&lt;&gt;"",$C372&lt;&gt;"",$D372&lt;&gt;"",$E372&lt;&gt;"",$F372&lt;&gt;"",ISNUMBER($G372),$G372&gt;=1,OR($O372="insufficient_source_evidence",$O372="operational_failure"),$H372="",$J372="",$L372="",$N372="",$Q372&lt;&gt;"",$R372="runner_monotonic_not_scorable"),"NotScorable","Partial")))</x:f>
        <x:v>Pending</x:v>
      </x:c>
    </x:row>
    <x:row r="373">
      <x:c r="A373" s="44"/>
      <x:c r="B373" s="44"/>
      <x:c r="C373" s="44"/>
      <x:c r="D373" s="44"/>
      <x:c r="E373" s="44"/>
      <x:c r="F373" s="44"/>
      <x:c r="G373" s="44"/>
      <x:c r="H373" s="44"/>
      <x:c r="I373" s="44"/>
      <x:c r="J373" s="44"/>
      <x:c r="K373" s="44"/>
      <x:c r="L373" s="44"/>
      <x:c r="M373" s="44"/>
      <x:c r="N373" s="50"/>
      <x:c r="O373" s="44"/>
      <x:c r="P373" s="53"/>
      <x:c r="Q373" s="53"/>
      <x:c r="R373" s="44"/>
      <x:c r="S373" s="47" t="str">
        <x:f>IF(COUNTA($H373:$R373)=0,"Pending",IF(AND($A373&lt;&gt;"",$B373&lt;&gt;"",$C373&lt;&gt;"",$D373&lt;&gt;"",$E373&lt;&gt;"",$F373&lt;&gt;"",ISNUMBER($G373),$G373&gt;=1,ISNUMBER($H373),MOD($H373,1)=0,$H373&gt;=1,$H373&lt;=5,ISNUMBER($J373),MOD($J373,1)=0,$J373&gt;=1,$J373&lt;=5,ISNUMBER($L373),MOD($L373,1)=0,$L373&gt;=1,$L373&lt;=5,ISNUMBER($N373),$N373&gt;=0,$O373="",$P373&lt;&gt;"",$Q373&lt;&gt;"",$R373="runner_monotonic_complete"),"ScorableComplete",IF(AND($A373&lt;&gt;"",$B373&lt;&gt;"",$C373&lt;&gt;"",$D373&lt;&gt;"",$E373&lt;&gt;"",$F373&lt;&gt;"",ISNUMBER($G373),$G373&gt;=1,OR($O373="insufficient_source_evidence",$O373="operational_failure"),$H373="",$J373="",$L373="",$N373="",$Q373&lt;&gt;"",$R373="runner_monotonic_not_scorable"),"NotScorable","Partial")))</x:f>
        <x:v>Pending</x:v>
      </x:c>
    </x:row>
    <x:row r="374">
      <x:c r="A374" s="44"/>
      <x:c r="B374" s="44"/>
      <x:c r="C374" s="44"/>
      <x:c r="D374" s="44"/>
      <x:c r="E374" s="44"/>
      <x:c r="F374" s="44"/>
      <x:c r="G374" s="44"/>
      <x:c r="H374" s="44"/>
      <x:c r="I374" s="44"/>
      <x:c r="J374" s="44"/>
      <x:c r="K374" s="44"/>
      <x:c r="L374" s="44"/>
      <x:c r="M374" s="44"/>
      <x:c r="N374" s="50"/>
      <x:c r="O374" s="44"/>
      <x:c r="P374" s="53"/>
      <x:c r="Q374" s="53"/>
      <x:c r="R374" s="44"/>
      <x:c r="S374" s="47" t="str">
        <x:f>IF(COUNTA($H374:$R374)=0,"Pending",IF(AND($A374&lt;&gt;"",$B374&lt;&gt;"",$C374&lt;&gt;"",$D374&lt;&gt;"",$E374&lt;&gt;"",$F374&lt;&gt;"",ISNUMBER($G374),$G374&gt;=1,ISNUMBER($H374),MOD($H374,1)=0,$H374&gt;=1,$H374&lt;=5,ISNUMBER($J374),MOD($J374,1)=0,$J374&gt;=1,$J374&lt;=5,ISNUMBER($L374),MOD($L374,1)=0,$L374&gt;=1,$L374&lt;=5,ISNUMBER($N374),$N374&gt;=0,$O374="",$P374&lt;&gt;"",$Q374&lt;&gt;"",$R374="runner_monotonic_complete"),"ScorableComplete",IF(AND($A374&lt;&gt;"",$B374&lt;&gt;"",$C374&lt;&gt;"",$D374&lt;&gt;"",$E374&lt;&gt;"",$F374&lt;&gt;"",ISNUMBER($G374),$G374&gt;=1,OR($O374="insufficient_source_evidence",$O374="operational_failure"),$H374="",$J374="",$L374="",$N374="",$Q374&lt;&gt;"",$R374="runner_monotonic_not_scorable"),"NotScorable","Partial")))</x:f>
        <x:v>Pending</x:v>
      </x:c>
    </x:row>
    <x:row r="375">
      <x:c r="A375" s="44"/>
      <x:c r="B375" s="44"/>
      <x:c r="C375" s="44"/>
      <x:c r="D375" s="44"/>
      <x:c r="E375" s="44"/>
      <x:c r="F375" s="44"/>
      <x:c r="G375" s="44"/>
      <x:c r="H375" s="44"/>
      <x:c r="I375" s="44"/>
      <x:c r="J375" s="44"/>
      <x:c r="K375" s="44"/>
      <x:c r="L375" s="44"/>
      <x:c r="M375" s="44"/>
      <x:c r="N375" s="50"/>
      <x:c r="O375" s="44"/>
      <x:c r="P375" s="53"/>
      <x:c r="Q375" s="53"/>
      <x:c r="R375" s="44"/>
      <x:c r="S375" s="47" t="str">
        <x:f>IF(COUNTA($H375:$R375)=0,"Pending",IF(AND($A375&lt;&gt;"",$B375&lt;&gt;"",$C375&lt;&gt;"",$D375&lt;&gt;"",$E375&lt;&gt;"",$F375&lt;&gt;"",ISNUMBER($G375),$G375&gt;=1,ISNUMBER($H375),MOD($H375,1)=0,$H375&gt;=1,$H375&lt;=5,ISNUMBER($J375),MOD($J375,1)=0,$J375&gt;=1,$J375&lt;=5,ISNUMBER($L375),MOD($L375,1)=0,$L375&gt;=1,$L375&lt;=5,ISNUMBER($N375),$N375&gt;=0,$O375="",$P375&lt;&gt;"",$Q375&lt;&gt;"",$R375="runner_monotonic_complete"),"ScorableComplete",IF(AND($A375&lt;&gt;"",$B375&lt;&gt;"",$C375&lt;&gt;"",$D375&lt;&gt;"",$E375&lt;&gt;"",$F375&lt;&gt;"",ISNUMBER($G375),$G375&gt;=1,OR($O375="insufficient_source_evidence",$O375="operational_failure"),$H375="",$J375="",$L375="",$N375="",$Q375&lt;&gt;"",$R375="runner_monotonic_not_scorable"),"NotScorable","Partial")))</x:f>
        <x:v>Pending</x:v>
      </x:c>
    </x:row>
    <x:row r="376">
      <x:c r="A376" s="44"/>
      <x:c r="B376" s="44"/>
      <x:c r="C376" s="44"/>
      <x:c r="D376" s="44"/>
      <x:c r="E376" s="44"/>
      <x:c r="F376" s="44"/>
      <x:c r="G376" s="44"/>
      <x:c r="H376" s="44"/>
      <x:c r="I376" s="44"/>
      <x:c r="J376" s="44"/>
      <x:c r="K376" s="44"/>
      <x:c r="L376" s="44"/>
      <x:c r="M376" s="44"/>
      <x:c r="N376" s="50"/>
      <x:c r="O376" s="44"/>
      <x:c r="P376" s="53"/>
      <x:c r="Q376" s="53"/>
      <x:c r="R376" s="44"/>
      <x:c r="S376" s="47" t="str">
        <x:f>IF(COUNTA($H376:$R376)=0,"Pending",IF(AND($A376&lt;&gt;"",$B376&lt;&gt;"",$C376&lt;&gt;"",$D376&lt;&gt;"",$E376&lt;&gt;"",$F376&lt;&gt;"",ISNUMBER($G376),$G376&gt;=1,ISNUMBER($H376),MOD($H376,1)=0,$H376&gt;=1,$H376&lt;=5,ISNUMBER($J376),MOD($J376,1)=0,$J376&gt;=1,$J376&lt;=5,ISNUMBER($L376),MOD($L376,1)=0,$L376&gt;=1,$L376&lt;=5,ISNUMBER($N376),$N376&gt;=0,$O376="",$P376&lt;&gt;"",$Q376&lt;&gt;"",$R376="runner_monotonic_complete"),"ScorableComplete",IF(AND($A376&lt;&gt;"",$B376&lt;&gt;"",$C376&lt;&gt;"",$D376&lt;&gt;"",$E376&lt;&gt;"",$F376&lt;&gt;"",ISNUMBER($G376),$G376&gt;=1,OR($O376="insufficient_source_evidence",$O376="operational_failure"),$H376="",$J376="",$L376="",$N376="",$Q376&lt;&gt;"",$R376="runner_monotonic_not_scorable"),"NotScorable","Partial")))</x:f>
        <x:v>Pending</x:v>
      </x:c>
    </x:row>
    <x:row r="377">
      <x:c r="A377" s="44"/>
      <x:c r="B377" s="44"/>
      <x:c r="C377" s="44"/>
      <x:c r="D377" s="44"/>
      <x:c r="E377" s="44"/>
      <x:c r="F377" s="44"/>
      <x:c r="G377" s="44"/>
      <x:c r="H377" s="44"/>
      <x:c r="I377" s="44"/>
      <x:c r="J377" s="44"/>
      <x:c r="K377" s="44"/>
      <x:c r="L377" s="44"/>
      <x:c r="M377" s="44"/>
      <x:c r="N377" s="50"/>
      <x:c r="O377" s="44"/>
      <x:c r="P377" s="53"/>
      <x:c r="Q377" s="53"/>
      <x:c r="R377" s="44"/>
      <x:c r="S377" s="47" t="str">
        <x:f>IF(COUNTA($H377:$R377)=0,"Pending",IF(AND($A377&lt;&gt;"",$B377&lt;&gt;"",$C377&lt;&gt;"",$D377&lt;&gt;"",$E377&lt;&gt;"",$F377&lt;&gt;"",ISNUMBER($G377),$G377&gt;=1,ISNUMBER($H377),MOD($H377,1)=0,$H377&gt;=1,$H377&lt;=5,ISNUMBER($J377),MOD($J377,1)=0,$J377&gt;=1,$J377&lt;=5,ISNUMBER($L377),MOD($L377,1)=0,$L377&gt;=1,$L377&lt;=5,ISNUMBER($N377),$N377&gt;=0,$O377="",$P377&lt;&gt;"",$Q377&lt;&gt;"",$R377="runner_monotonic_complete"),"ScorableComplete",IF(AND($A377&lt;&gt;"",$B377&lt;&gt;"",$C377&lt;&gt;"",$D377&lt;&gt;"",$E377&lt;&gt;"",$F377&lt;&gt;"",ISNUMBER($G377),$G377&gt;=1,OR($O377="insufficient_source_evidence",$O377="operational_failure"),$H377="",$J377="",$L377="",$N377="",$Q377&lt;&gt;"",$R377="runner_monotonic_not_scorable"),"NotScorable","Partial")))</x:f>
        <x:v>Pending</x:v>
      </x:c>
    </x:row>
    <x:row r="378">
      <x:c r="A378" s="44"/>
      <x:c r="B378" s="44"/>
      <x:c r="C378" s="44"/>
      <x:c r="D378" s="44"/>
      <x:c r="E378" s="44"/>
      <x:c r="F378" s="44"/>
      <x:c r="G378" s="44"/>
      <x:c r="H378" s="44"/>
      <x:c r="I378" s="44"/>
      <x:c r="J378" s="44"/>
      <x:c r="K378" s="44"/>
      <x:c r="L378" s="44"/>
      <x:c r="M378" s="44"/>
      <x:c r="N378" s="50"/>
      <x:c r="O378" s="44"/>
      <x:c r="P378" s="53"/>
      <x:c r="Q378" s="53"/>
      <x:c r="R378" s="44"/>
      <x:c r="S378" s="47" t="str">
        <x:f>IF(COUNTA($H378:$R378)=0,"Pending",IF(AND($A378&lt;&gt;"",$B378&lt;&gt;"",$C378&lt;&gt;"",$D378&lt;&gt;"",$E378&lt;&gt;"",$F378&lt;&gt;"",ISNUMBER($G378),$G378&gt;=1,ISNUMBER($H378),MOD($H378,1)=0,$H378&gt;=1,$H378&lt;=5,ISNUMBER($J378),MOD($J378,1)=0,$J378&gt;=1,$J378&lt;=5,ISNUMBER($L378),MOD($L378,1)=0,$L378&gt;=1,$L378&lt;=5,ISNUMBER($N378),$N378&gt;=0,$O378="",$P378&lt;&gt;"",$Q378&lt;&gt;"",$R378="runner_monotonic_complete"),"ScorableComplete",IF(AND($A378&lt;&gt;"",$B378&lt;&gt;"",$C378&lt;&gt;"",$D378&lt;&gt;"",$E378&lt;&gt;"",$F378&lt;&gt;"",ISNUMBER($G378),$G378&gt;=1,OR($O378="insufficient_source_evidence",$O378="operational_failure"),$H378="",$J378="",$L378="",$N378="",$Q378&lt;&gt;"",$R378="runner_monotonic_not_scorable"),"NotScorable","Partial")))</x:f>
        <x:v>Pending</x:v>
      </x:c>
    </x:row>
    <x:row r="379">
      <x:c r="A379" s="44"/>
      <x:c r="B379" s="44"/>
      <x:c r="C379" s="44"/>
      <x:c r="D379" s="44"/>
      <x:c r="E379" s="44"/>
      <x:c r="F379" s="44"/>
      <x:c r="G379" s="44"/>
      <x:c r="H379" s="44"/>
      <x:c r="I379" s="44"/>
      <x:c r="J379" s="44"/>
      <x:c r="K379" s="44"/>
      <x:c r="L379" s="44"/>
      <x:c r="M379" s="44"/>
      <x:c r="N379" s="50"/>
      <x:c r="O379" s="44"/>
      <x:c r="P379" s="53"/>
      <x:c r="Q379" s="53"/>
      <x:c r="R379" s="44"/>
      <x:c r="S379" s="47" t="str">
        <x:f>IF(COUNTA($H379:$R379)=0,"Pending",IF(AND($A379&lt;&gt;"",$B379&lt;&gt;"",$C379&lt;&gt;"",$D379&lt;&gt;"",$E379&lt;&gt;"",$F379&lt;&gt;"",ISNUMBER($G379),$G379&gt;=1,ISNUMBER($H379),MOD($H379,1)=0,$H379&gt;=1,$H379&lt;=5,ISNUMBER($J379),MOD($J379,1)=0,$J379&gt;=1,$J379&lt;=5,ISNUMBER($L379),MOD($L379,1)=0,$L379&gt;=1,$L379&lt;=5,ISNUMBER($N379),$N379&gt;=0,$O379="",$P379&lt;&gt;"",$Q379&lt;&gt;"",$R379="runner_monotonic_complete"),"ScorableComplete",IF(AND($A379&lt;&gt;"",$B379&lt;&gt;"",$C379&lt;&gt;"",$D379&lt;&gt;"",$E379&lt;&gt;"",$F379&lt;&gt;"",ISNUMBER($G379),$G379&gt;=1,OR($O379="insufficient_source_evidence",$O379="operational_failure"),$H379="",$J379="",$L379="",$N379="",$Q379&lt;&gt;"",$R379="runner_monotonic_not_scorable"),"NotScorable","Partial")))</x:f>
        <x:v>Pending</x:v>
      </x:c>
    </x:row>
    <x:row r="380">
      <x:c r="A380" s="44"/>
      <x:c r="B380" s="44"/>
      <x:c r="C380" s="44"/>
      <x:c r="D380" s="44"/>
      <x:c r="E380" s="44"/>
      <x:c r="F380" s="44"/>
      <x:c r="G380" s="44"/>
      <x:c r="H380" s="44"/>
      <x:c r="I380" s="44"/>
      <x:c r="J380" s="44"/>
      <x:c r="K380" s="44"/>
      <x:c r="L380" s="44"/>
      <x:c r="M380" s="44"/>
      <x:c r="N380" s="50"/>
      <x:c r="O380" s="44"/>
      <x:c r="P380" s="53"/>
      <x:c r="Q380" s="53"/>
      <x:c r="R380" s="44"/>
      <x:c r="S380" s="47" t="str">
        <x:f>IF(COUNTA($H380:$R380)=0,"Pending",IF(AND($A380&lt;&gt;"",$B380&lt;&gt;"",$C380&lt;&gt;"",$D380&lt;&gt;"",$E380&lt;&gt;"",$F380&lt;&gt;"",ISNUMBER($G380),$G380&gt;=1,ISNUMBER($H380),MOD($H380,1)=0,$H380&gt;=1,$H380&lt;=5,ISNUMBER($J380),MOD($J380,1)=0,$J380&gt;=1,$J380&lt;=5,ISNUMBER($L380),MOD($L380,1)=0,$L380&gt;=1,$L380&lt;=5,ISNUMBER($N380),$N380&gt;=0,$O380="",$P380&lt;&gt;"",$Q380&lt;&gt;"",$R380="runner_monotonic_complete"),"ScorableComplete",IF(AND($A380&lt;&gt;"",$B380&lt;&gt;"",$C380&lt;&gt;"",$D380&lt;&gt;"",$E380&lt;&gt;"",$F380&lt;&gt;"",ISNUMBER($G380),$G380&gt;=1,OR($O380="insufficient_source_evidence",$O380="operational_failure"),$H380="",$J380="",$L380="",$N380="",$Q380&lt;&gt;"",$R380="runner_monotonic_not_scorable"),"NotScorable","Partial")))</x:f>
        <x:v>Pending</x:v>
      </x:c>
    </x:row>
    <x:row r="381">
      <x:c r="A381" s="44"/>
      <x:c r="B381" s="44"/>
      <x:c r="C381" s="44"/>
      <x:c r="D381" s="44"/>
      <x:c r="E381" s="44"/>
      <x:c r="F381" s="44"/>
      <x:c r="G381" s="44"/>
      <x:c r="H381" s="44"/>
      <x:c r="I381" s="44"/>
      <x:c r="J381" s="44"/>
      <x:c r="K381" s="44"/>
      <x:c r="L381" s="44"/>
      <x:c r="M381" s="44"/>
      <x:c r="N381" s="50"/>
      <x:c r="O381" s="44"/>
      <x:c r="P381" s="53"/>
      <x:c r="Q381" s="53"/>
      <x:c r="R381" s="44"/>
      <x:c r="S381" s="47" t="str">
        <x:f>IF(COUNTA($H381:$R381)=0,"Pending",IF(AND($A381&lt;&gt;"",$B381&lt;&gt;"",$C381&lt;&gt;"",$D381&lt;&gt;"",$E381&lt;&gt;"",$F381&lt;&gt;"",ISNUMBER($G381),$G381&gt;=1,ISNUMBER($H381),MOD($H381,1)=0,$H381&gt;=1,$H381&lt;=5,ISNUMBER($J381),MOD($J381,1)=0,$J381&gt;=1,$J381&lt;=5,ISNUMBER($L381),MOD($L381,1)=0,$L381&gt;=1,$L381&lt;=5,ISNUMBER($N381),$N381&gt;=0,$O381="",$P381&lt;&gt;"",$Q381&lt;&gt;"",$R381="runner_monotonic_complete"),"ScorableComplete",IF(AND($A381&lt;&gt;"",$B381&lt;&gt;"",$C381&lt;&gt;"",$D381&lt;&gt;"",$E381&lt;&gt;"",$F381&lt;&gt;"",ISNUMBER($G381),$G381&gt;=1,OR($O381="insufficient_source_evidence",$O381="operational_failure"),$H381="",$J381="",$L381="",$N381="",$Q381&lt;&gt;"",$R381="runner_monotonic_not_scorable"),"NotScorable","Partial")))</x:f>
        <x:v>Pending</x:v>
      </x:c>
    </x:row>
    <x:row r="382">
      <x:c r="A382" s="44"/>
      <x:c r="B382" s="44"/>
      <x:c r="C382" s="44"/>
      <x:c r="D382" s="44"/>
      <x:c r="E382" s="44"/>
      <x:c r="F382" s="44"/>
      <x:c r="G382" s="44"/>
      <x:c r="H382" s="44"/>
      <x:c r="I382" s="44"/>
      <x:c r="J382" s="44"/>
      <x:c r="K382" s="44"/>
      <x:c r="L382" s="44"/>
      <x:c r="M382" s="44"/>
      <x:c r="N382" s="50"/>
      <x:c r="O382" s="44"/>
      <x:c r="P382" s="53"/>
      <x:c r="Q382" s="53"/>
      <x:c r="R382" s="44"/>
      <x:c r="S382" s="47" t="str">
        <x:f>IF(COUNTA($H382:$R382)=0,"Pending",IF(AND($A382&lt;&gt;"",$B382&lt;&gt;"",$C382&lt;&gt;"",$D382&lt;&gt;"",$E382&lt;&gt;"",$F382&lt;&gt;"",ISNUMBER($G382),$G382&gt;=1,ISNUMBER($H382),MOD($H382,1)=0,$H382&gt;=1,$H382&lt;=5,ISNUMBER($J382),MOD($J382,1)=0,$J382&gt;=1,$J382&lt;=5,ISNUMBER($L382),MOD($L382,1)=0,$L382&gt;=1,$L382&lt;=5,ISNUMBER($N382),$N382&gt;=0,$O382="",$P382&lt;&gt;"",$Q382&lt;&gt;"",$R382="runner_monotonic_complete"),"ScorableComplete",IF(AND($A382&lt;&gt;"",$B382&lt;&gt;"",$C382&lt;&gt;"",$D382&lt;&gt;"",$E382&lt;&gt;"",$F382&lt;&gt;"",ISNUMBER($G382),$G382&gt;=1,OR($O382="insufficient_source_evidence",$O382="operational_failure"),$H382="",$J382="",$L382="",$N382="",$Q382&lt;&gt;"",$R382="runner_monotonic_not_scorable"),"NotScorable","Partial")))</x:f>
        <x:v>Pending</x:v>
      </x:c>
    </x:row>
    <x:row r="383">
      <x:c r="A383" s="44"/>
      <x:c r="B383" s="44"/>
      <x:c r="C383" s="44"/>
      <x:c r="D383" s="44"/>
      <x:c r="E383" s="44"/>
      <x:c r="F383" s="44"/>
      <x:c r="G383" s="44"/>
      <x:c r="H383" s="44"/>
      <x:c r="I383" s="44"/>
      <x:c r="J383" s="44"/>
      <x:c r="K383" s="44"/>
      <x:c r="L383" s="44"/>
      <x:c r="M383" s="44"/>
      <x:c r="N383" s="50"/>
      <x:c r="O383" s="44"/>
      <x:c r="P383" s="53"/>
      <x:c r="Q383" s="53"/>
      <x:c r="R383" s="44"/>
      <x:c r="S383" s="47" t="str">
        <x:f>IF(COUNTA($H383:$R383)=0,"Pending",IF(AND($A383&lt;&gt;"",$B383&lt;&gt;"",$C383&lt;&gt;"",$D383&lt;&gt;"",$E383&lt;&gt;"",$F383&lt;&gt;"",ISNUMBER($G383),$G383&gt;=1,ISNUMBER($H383),MOD($H383,1)=0,$H383&gt;=1,$H383&lt;=5,ISNUMBER($J383),MOD($J383,1)=0,$J383&gt;=1,$J383&lt;=5,ISNUMBER($L383),MOD($L383,1)=0,$L383&gt;=1,$L383&lt;=5,ISNUMBER($N383),$N383&gt;=0,$O383="",$P383&lt;&gt;"",$Q383&lt;&gt;"",$R383="runner_monotonic_complete"),"ScorableComplete",IF(AND($A383&lt;&gt;"",$B383&lt;&gt;"",$C383&lt;&gt;"",$D383&lt;&gt;"",$E383&lt;&gt;"",$F383&lt;&gt;"",ISNUMBER($G383),$G383&gt;=1,OR($O383="insufficient_source_evidence",$O383="operational_failure"),$H383="",$J383="",$L383="",$N383="",$Q383&lt;&gt;"",$R383="runner_monotonic_not_scorable"),"NotScorable","Partial")))</x:f>
        <x:v>Pending</x:v>
      </x:c>
    </x:row>
    <x:row r="384">
      <x:c r="A384" s="44"/>
      <x:c r="B384" s="44"/>
      <x:c r="C384" s="44"/>
      <x:c r="D384" s="44"/>
      <x:c r="E384" s="44"/>
      <x:c r="F384" s="44"/>
      <x:c r="G384" s="44"/>
      <x:c r="H384" s="44"/>
      <x:c r="I384" s="44"/>
      <x:c r="J384" s="44"/>
      <x:c r="K384" s="44"/>
      <x:c r="L384" s="44"/>
      <x:c r="M384" s="44"/>
      <x:c r="N384" s="50"/>
      <x:c r="O384" s="44"/>
      <x:c r="P384" s="53"/>
      <x:c r="Q384" s="53"/>
      <x:c r="R384" s="44"/>
      <x:c r="S384" s="47" t="str">
        <x:f>IF(COUNTA($H384:$R384)=0,"Pending",IF(AND($A384&lt;&gt;"",$B384&lt;&gt;"",$C384&lt;&gt;"",$D384&lt;&gt;"",$E384&lt;&gt;"",$F384&lt;&gt;"",ISNUMBER($G384),$G384&gt;=1,ISNUMBER($H384),MOD($H384,1)=0,$H384&gt;=1,$H384&lt;=5,ISNUMBER($J384),MOD($J384,1)=0,$J384&gt;=1,$J384&lt;=5,ISNUMBER($L384),MOD($L384,1)=0,$L384&gt;=1,$L384&lt;=5,ISNUMBER($N384),$N384&gt;=0,$O384="",$P384&lt;&gt;"",$Q384&lt;&gt;"",$R384="runner_monotonic_complete"),"ScorableComplete",IF(AND($A384&lt;&gt;"",$B384&lt;&gt;"",$C384&lt;&gt;"",$D384&lt;&gt;"",$E384&lt;&gt;"",$F384&lt;&gt;"",ISNUMBER($G384),$G384&gt;=1,OR($O384="insufficient_source_evidence",$O384="operational_failure"),$H384="",$J384="",$L384="",$N384="",$Q384&lt;&gt;"",$R384="runner_monotonic_not_scorable"),"NotScorable","Partial")))</x:f>
        <x:v>Pending</x:v>
      </x:c>
    </x:row>
    <x:row r="385">
      <x:c r="A385" s="44"/>
      <x:c r="B385" s="44"/>
      <x:c r="C385" s="44"/>
      <x:c r="D385" s="44"/>
      <x:c r="E385" s="44"/>
      <x:c r="F385" s="44"/>
      <x:c r="G385" s="44"/>
      <x:c r="H385" s="44"/>
      <x:c r="I385" s="44"/>
      <x:c r="J385" s="44"/>
      <x:c r="K385" s="44"/>
      <x:c r="L385" s="44"/>
      <x:c r="M385" s="44"/>
      <x:c r="N385" s="50"/>
      <x:c r="O385" s="44"/>
      <x:c r="P385" s="53"/>
      <x:c r="Q385" s="53"/>
      <x:c r="R385" s="44"/>
      <x:c r="S385" s="47" t="str">
        <x:f>IF(COUNTA($H385:$R385)=0,"Pending",IF(AND($A385&lt;&gt;"",$B385&lt;&gt;"",$C385&lt;&gt;"",$D385&lt;&gt;"",$E385&lt;&gt;"",$F385&lt;&gt;"",ISNUMBER($G385),$G385&gt;=1,ISNUMBER($H385),MOD($H385,1)=0,$H385&gt;=1,$H385&lt;=5,ISNUMBER($J385),MOD($J385,1)=0,$J385&gt;=1,$J385&lt;=5,ISNUMBER($L385),MOD($L385,1)=0,$L385&gt;=1,$L385&lt;=5,ISNUMBER($N385),$N385&gt;=0,$O385="",$P385&lt;&gt;"",$Q385&lt;&gt;"",$R385="runner_monotonic_complete"),"ScorableComplete",IF(AND($A385&lt;&gt;"",$B385&lt;&gt;"",$C385&lt;&gt;"",$D385&lt;&gt;"",$E385&lt;&gt;"",$F385&lt;&gt;"",ISNUMBER($G385),$G385&gt;=1,OR($O385="insufficient_source_evidence",$O385="operational_failure"),$H385="",$J385="",$L385="",$N385="",$Q385&lt;&gt;"",$R385="runner_monotonic_not_scorable"),"NotScorable","Partial")))</x:f>
        <x:v>Pending</x:v>
      </x:c>
    </x:row>
    <x:row r="386">
      <x:c r="A386" s="44"/>
      <x:c r="B386" s="44"/>
      <x:c r="C386" s="44"/>
      <x:c r="D386" s="44"/>
      <x:c r="E386" s="44"/>
      <x:c r="F386" s="44"/>
      <x:c r="G386" s="44"/>
      <x:c r="H386" s="44"/>
      <x:c r="I386" s="44"/>
      <x:c r="J386" s="44"/>
      <x:c r="K386" s="44"/>
      <x:c r="L386" s="44"/>
      <x:c r="M386" s="44"/>
      <x:c r="N386" s="50"/>
      <x:c r="O386" s="44"/>
      <x:c r="P386" s="53"/>
      <x:c r="Q386" s="53"/>
      <x:c r="R386" s="44"/>
      <x:c r="S386" s="47" t="str">
        <x:f>IF(COUNTA($H386:$R386)=0,"Pending",IF(AND($A386&lt;&gt;"",$B386&lt;&gt;"",$C386&lt;&gt;"",$D386&lt;&gt;"",$E386&lt;&gt;"",$F386&lt;&gt;"",ISNUMBER($G386),$G386&gt;=1,ISNUMBER($H386),MOD($H386,1)=0,$H386&gt;=1,$H386&lt;=5,ISNUMBER($J386),MOD($J386,1)=0,$J386&gt;=1,$J386&lt;=5,ISNUMBER($L386),MOD($L386,1)=0,$L386&gt;=1,$L386&lt;=5,ISNUMBER($N386),$N386&gt;=0,$O386="",$P386&lt;&gt;"",$Q386&lt;&gt;"",$R386="runner_monotonic_complete"),"ScorableComplete",IF(AND($A386&lt;&gt;"",$B386&lt;&gt;"",$C386&lt;&gt;"",$D386&lt;&gt;"",$E386&lt;&gt;"",$F386&lt;&gt;"",ISNUMBER($G386),$G386&gt;=1,OR($O386="insufficient_source_evidence",$O386="operational_failure"),$H386="",$J386="",$L386="",$N386="",$Q386&lt;&gt;"",$R386="runner_monotonic_not_scorable"),"NotScorable","Partial")))</x:f>
        <x:v>Pending</x:v>
      </x:c>
    </x:row>
    <x:row r="387">
      <x:c r="A387" s="44"/>
      <x:c r="B387" s="44"/>
      <x:c r="C387" s="44"/>
      <x:c r="D387" s="44"/>
      <x:c r="E387" s="44"/>
      <x:c r="F387" s="44"/>
      <x:c r="G387" s="44"/>
      <x:c r="H387" s="44"/>
      <x:c r="I387" s="44"/>
      <x:c r="J387" s="44"/>
      <x:c r="K387" s="44"/>
      <x:c r="L387" s="44"/>
      <x:c r="M387" s="44"/>
      <x:c r="N387" s="50"/>
      <x:c r="O387" s="44"/>
      <x:c r="P387" s="53"/>
      <x:c r="Q387" s="53"/>
      <x:c r="R387" s="44"/>
      <x:c r="S387" s="47" t="str">
        <x:f>IF(COUNTA($H387:$R387)=0,"Pending",IF(AND($A387&lt;&gt;"",$B387&lt;&gt;"",$C387&lt;&gt;"",$D387&lt;&gt;"",$E387&lt;&gt;"",$F387&lt;&gt;"",ISNUMBER($G387),$G387&gt;=1,ISNUMBER($H387),MOD($H387,1)=0,$H387&gt;=1,$H387&lt;=5,ISNUMBER($J387),MOD($J387,1)=0,$J387&gt;=1,$J387&lt;=5,ISNUMBER($L387),MOD($L387,1)=0,$L387&gt;=1,$L387&lt;=5,ISNUMBER($N387),$N387&gt;=0,$O387="",$P387&lt;&gt;"",$Q387&lt;&gt;"",$R387="runner_monotonic_complete"),"ScorableComplete",IF(AND($A387&lt;&gt;"",$B387&lt;&gt;"",$C387&lt;&gt;"",$D387&lt;&gt;"",$E387&lt;&gt;"",$F387&lt;&gt;"",ISNUMBER($G387),$G387&gt;=1,OR($O387="insufficient_source_evidence",$O387="operational_failure"),$H387="",$J387="",$L387="",$N387="",$Q387&lt;&gt;"",$R387="runner_monotonic_not_scorable"),"NotScorable","Partial")))</x:f>
        <x:v>Pending</x:v>
      </x:c>
    </x:row>
    <x:row r="388">
      <x:c r="A388" s="44"/>
      <x:c r="B388" s="44"/>
      <x:c r="C388" s="44"/>
      <x:c r="D388" s="44"/>
      <x:c r="E388" s="44"/>
      <x:c r="F388" s="44"/>
      <x:c r="G388" s="44"/>
      <x:c r="H388" s="44"/>
      <x:c r="I388" s="44"/>
      <x:c r="J388" s="44"/>
      <x:c r="K388" s="44"/>
      <x:c r="L388" s="44"/>
      <x:c r="M388" s="44"/>
      <x:c r="N388" s="50"/>
      <x:c r="O388" s="44"/>
      <x:c r="P388" s="53"/>
      <x:c r="Q388" s="53"/>
      <x:c r="R388" s="44"/>
      <x:c r="S388" s="47" t="str">
        <x:f>IF(COUNTA($H388:$R388)=0,"Pending",IF(AND($A388&lt;&gt;"",$B388&lt;&gt;"",$C388&lt;&gt;"",$D388&lt;&gt;"",$E388&lt;&gt;"",$F388&lt;&gt;"",ISNUMBER($G388),$G388&gt;=1,ISNUMBER($H388),MOD($H388,1)=0,$H388&gt;=1,$H388&lt;=5,ISNUMBER($J388),MOD($J388,1)=0,$J388&gt;=1,$J388&lt;=5,ISNUMBER($L388),MOD($L388,1)=0,$L388&gt;=1,$L388&lt;=5,ISNUMBER($N388),$N388&gt;=0,$O388="",$P388&lt;&gt;"",$Q388&lt;&gt;"",$R388="runner_monotonic_complete"),"ScorableComplete",IF(AND($A388&lt;&gt;"",$B388&lt;&gt;"",$C388&lt;&gt;"",$D388&lt;&gt;"",$E388&lt;&gt;"",$F388&lt;&gt;"",ISNUMBER($G388),$G388&gt;=1,OR($O388="insufficient_source_evidence",$O388="operational_failure"),$H388="",$J388="",$L388="",$N388="",$Q388&lt;&gt;"",$R388="runner_monotonic_not_scorable"),"NotScorable","Partial")))</x:f>
        <x:v>Pending</x:v>
      </x:c>
    </x:row>
    <x:row r="389">
      <x:c r="A389" s="44"/>
      <x:c r="B389" s="44"/>
      <x:c r="C389" s="44"/>
      <x:c r="D389" s="44"/>
      <x:c r="E389" s="44"/>
      <x:c r="F389" s="44"/>
      <x:c r="G389" s="44"/>
      <x:c r="H389" s="44"/>
      <x:c r="I389" s="44"/>
      <x:c r="J389" s="44"/>
      <x:c r="K389" s="44"/>
      <x:c r="L389" s="44"/>
      <x:c r="M389" s="44"/>
      <x:c r="N389" s="50"/>
      <x:c r="O389" s="44"/>
      <x:c r="P389" s="53"/>
      <x:c r="Q389" s="53"/>
      <x:c r="R389" s="44"/>
      <x:c r="S389" s="47" t="str">
        <x:f>IF(COUNTA($H389:$R389)=0,"Pending",IF(AND($A389&lt;&gt;"",$B389&lt;&gt;"",$C389&lt;&gt;"",$D389&lt;&gt;"",$E389&lt;&gt;"",$F389&lt;&gt;"",ISNUMBER($G389),$G389&gt;=1,ISNUMBER($H389),MOD($H389,1)=0,$H389&gt;=1,$H389&lt;=5,ISNUMBER($J389),MOD($J389,1)=0,$J389&gt;=1,$J389&lt;=5,ISNUMBER($L389),MOD($L389,1)=0,$L389&gt;=1,$L389&lt;=5,ISNUMBER($N389),$N389&gt;=0,$O389="",$P389&lt;&gt;"",$Q389&lt;&gt;"",$R389="runner_monotonic_complete"),"ScorableComplete",IF(AND($A389&lt;&gt;"",$B389&lt;&gt;"",$C389&lt;&gt;"",$D389&lt;&gt;"",$E389&lt;&gt;"",$F389&lt;&gt;"",ISNUMBER($G389),$G389&gt;=1,OR($O389="insufficient_source_evidence",$O389="operational_failure"),$H389="",$J389="",$L389="",$N389="",$Q389&lt;&gt;"",$R389="runner_monotonic_not_scorable"),"NotScorable","Partial")))</x:f>
        <x:v>Pending</x:v>
      </x:c>
    </x:row>
    <x:row r="390">
      <x:c r="A390" s="44"/>
      <x:c r="B390" s="44"/>
      <x:c r="C390" s="44"/>
      <x:c r="D390" s="44"/>
      <x:c r="E390" s="44"/>
      <x:c r="F390" s="44"/>
      <x:c r="G390" s="44"/>
      <x:c r="H390" s="44"/>
      <x:c r="I390" s="44"/>
      <x:c r="J390" s="44"/>
      <x:c r="K390" s="44"/>
      <x:c r="L390" s="44"/>
      <x:c r="M390" s="44"/>
      <x:c r="N390" s="50"/>
      <x:c r="O390" s="44"/>
      <x:c r="P390" s="53"/>
      <x:c r="Q390" s="53"/>
      <x:c r="R390" s="44"/>
      <x:c r="S390" s="47" t="str">
        <x:f>IF(COUNTA($H390:$R390)=0,"Pending",IF(AND($A390&lt;&gt;"",$B390&lt;&gt;"",$C390&lt;&gt;"",$D390&lt;&gt;"",$E390&lt;&gt;"",$F390&lt;&gt;"",ISNUMBER($G390),$G390&gt;=1,ISNUMBER($H390),MOD($H390,1)=0,$H390&gt;=1,$H390&lt;=5,ISNUMBER($J390),MOD($J390,1)=0,$J390&gt;=1,$J390&lt;=5,ISNUMBER($L390),MOD($L390,1)=0,$L390&gt;=1,$L390&lt;=5,ISNUMBER($N390),$N390&gt;=0,$O390="",$P390&lt;&gt;"",$Q390&lt;&gt;"",$R390="runner_monotonic_complete"),"ScorableComplete",IF(AND($A390&lt;&gt;"",$B390&lt;&gt;"",$C390&lt;&gt;"",$D390&lt;&gt;"",$E390&lt;&gt;"",$F390&lt;&gt;"",ISNUMBER($G390),$G390&gt;=1,OR($O390="insufficient_source_evidence",$O390="operational_failure"),$H390="",$J390="",$L390="",$N390="",$Q390&lt;&gt;"",$R390="runner_monotonic_not_scorable"),"NotScorable","Partial")))</x:f>
        <x:v>Pending</x:v>
      </x:c>
    </x:row>
    <x:row r="391">
      <x:c r="A391" s="44"/>
      <x:c r="B391" s="44"/>
      <x:c r="C391" s="44"/>
      <x:c r="D391" s="44"/>
      <x:c r="E391" s="44"/>
      <x:c r="F391" s="44"/>
      <x:c r="G391" s="44"/>
      <x:c r="H391" s="44"/>
      <x:c r="I391" s="44"/>
      <x:c r="J391" s="44"/>
      <x:c r="K391" s="44"/>
      <x:c r="L391" s="44"/>
      <x:c r="M391" s="44"/>
      <x:c r="N391" s="50"/>
      <x:c r="O391" s="44"/>
      <x:c r="P391" s="53"/>
      <x:c r="Q391" s="53"/>
      <x:c r="R391" s="44"/>
      <x:c r="S391" s="47" t="str">
        <x:f>IF(COUNTA($H391:$R391)=0,"Pending",IF(AND($A391&lt;&gt;"",$B391&lt;&gt;"",$C391&lt;&gt;"",$D391&lt;&gt;"",$E391&lt;&gt;"",$F391&lt;&gt;"",ISNUMBER($G391),$G391&gt;=1,ISNUMBER($H391),MOD($H391,1)=0,$H391&gt;=1,$H391&lt;=5,ISNUMBER($J391),MOD($J391,1)=0,$J391&gt;=1,$J391&lt;=5,ISNUMBER($L391),MOD($L391,1)=0,$L391&gt;=1,$L391&lt;=5,ISNUMBER($N391),$N391&gt;=0,$O391="",$P391&lt;&gt;"",$Q391&lt;&gt;"",$R391="runner_monotonic_complete"),"ScorableComplete",IF(AND($A391&lt;&gt;"",$B391&lt;&gt;"",$C391&lt;&gt;"",$D391&lt;&gt;"",$E391&lt;&gt;"",$F391&lt;&gt;"",ISNUMBER($G391),$G391&gt;=1,OR($O391="insufficient_source_evidence",$O391="operational_failure"),$H391="",$J391="",$L391="",$N391="",$Q391&lt;&gt;"",$R391="runner_monotonic_not_scorable"),"NotScorable","Partial")))</x:f>
        <x:v>Pending</x:v>
      </x:c>
    </x:row>
    <x:row r="392">
      <x:c r="A392" s="44"/>
      <x:c r="B392" s="44"/>
      <x:c r="C392" s="44"/>
      <x:c r="D392" s="44"/>
      <x:c r="E392" s="44"/>
      <x:c r="F392" s="44"/>
      <x:c r="G392" s="44"/>
      <x:c r="H392" s="44"/>
      <x:c r="I392" s="44"/>
      <x:c r="J392" s="44"/>
      <x:c r="K392" s="44"/>
      <x:c r="L392" s="44"/>
      <x:c r="M392" s="44"/>
      <x:c r="N392" s="50"/>
      <x:c r="O392" s="44"/>
      <x:c r="P392" s="53"/>
      <x:c r="Q392" s="53"/>
      <x:c r="R392" s="44"/>
      <x:c r="S392" s="47" t="str">
        <x:f>IF(COUNTA($H392:$R392)=0,"Pending",IF(AND($A392&lt;&gt;"",$B392&lt;&gt;"",$C392&lt;&gt;"",$D392&lt;&gt;"",$E392&lt;&gt;"",$F392&lt;&gt;"",ISNUMBER($G392),$G392&gt;=1,ISNUMBER($H392),MOD($H392,1)=0,$H392&gt;=1,$H392&lt;=5,ISNUMBER($J392),MOD($J392,1)=0,$J392&gt;=1,$J392&lt;=5,ISNUMBER($L392),MOD($L392,1)=0,$L392&gt;=1,$L392&lt;=5,ISNUMBER($N392),$N392&gt;=0,$O392="",$P392&lt;&gt;"",$Q392&lt;&gt;"",$R392="runner_monotonic_complete"),"ScorableComplete",IF(AND($A392&lt;&gt;"",$B392&lt;&gt;"",$C392&lt;&gt;"",$D392&lt;&gt;"",$E392&lt;&gt;"",$F392&lt;&gt;"",ISNUMBER($G392),$G392&gt;=1,OR($O392="insufficient_source_evidence",$O392="operational_failure"),$H392="",$J392="",$L392="",$N392="",$Q392&lt;&gt;"",$R392="runner_monotonic_not_scorable"),"NotScorable","Partial")))</x:f>
        <x:v>Pending</x:v>
      </x:c>
    </x:row>
    <x:row r="393">
      <x:c r="A393" s="44"/>
      <x:c r="B393" s="44"/>
      <x:c r="C393" s="44"/>
      <x:c r="D393" s="44"/>
      <x:c r="E393" s="44"/>
      <x:c r="F393" s="44"/>
      <x:c r="G393" s="44"/>
      <x:c r="H393" s="44"/>
      <x:c r="I393" s="44"/>
      <x:c r="J393" s="44"/>
      <x:c r="K393" s="44"/>
      <x:c r="L393" s="44"/>
      <x:c r="M393" s="44"/>
      <x:c r="N393" s="50"/>
      <x:c r="O393" s="44"/>
      <x:c r="P393" s="53"/>
      <x:c r="Q393" s="53"/>
      <x:c r="R393" s="44"/>
      <x:c r="S393" s="47" t="str">
        <x:f>IF(COUNTA($H393:$R393)=0,"Pending",IF(AND($A393&lt;&gt;"",$B393&lt;&gt;"",$C393&lt;&gt;"",$D393&lt;&gt;"",$E393&lt;&gt;"",$F393&lt;&gt;"",ISNUMBER($G393),$G393&gt;=1,ISNUMBER($H393),MOD($H393,1)=0,$H393&gt;=1,$H393&lt;=5,ISNUMBER($J393),MOD($J393,1)=0,$J393&gt;=1,$J393&lt;=5,ISNUMBER($L393),MOD($L393,1)=0,$L393&gt;=1,$L393&lt;=5,ISNUMBER($N393),$N393&gt;=0,$O393="",$P393&lt;&gt;"",$Q393&lt;&gt;"",$R393="runner_monotonic_complete"),"ScorableComplete",IF(AND($A393&lt;&gt;"",$B393&lt;&gt;"",$C393&lt;&gt;"",$D393&lt;&gt;"",$E393&lt;&gt;"",$F393&lt;&gt;"",ISNUMBER($G393),$G393&gt;=1,OR($O393="insufficient_source_evidence",$O393="operational_failure"),$H393="",$J393="",$L393="",$N393="",$Q393&lt;&gt;"",$R393="runner_monotonic_not_scorable"),"NotScorable","Partial")))</x:f>
        <x:v>Pending</x:v>
      </x:c>
    </x:row>
    <x:row r="394">
      <x:c r="A394" s="44"/>
      <x:c r="B394" s="44"/>
      <x:c r="C394" s="44"/>
      <x:c r="D394" s="44"/>
      <x:c r="E394" s="44"/>
      <x:c r="F394" s="44"/>
      <x:c r="G394" s="44"/>
      <x:c r="H394" s="44"/>
      <x:c r="I394" s="44"/>
      <x:c r="J394" s="44"/>
      <x:c r="K394" s="44"/>
      <x:c r="L394" s="44"/>
      <x:c r="M394" s="44"/>
      <x:c r="N394" s="50"/>
      <x:c r="O394" s="44"/>
      <x:c r="P394" s="53"/>
      <x:c r="Q394" s="53"/>
      <x:c r="R394" s="44"/>
      <x:c r="S394" s="47" t="str">
        <x:f>IF(COUNTA($H394:$R394)=0,"Pending",IF(AND($A394&lt;&gt;"",$B394&lt;&gt;"",$C394&lt;&gt;"",$D394&lt;&gt;"",$E394&lt;&gt;"",$F394&lt;&gt;"",ISNUMBER($G394),$G394&gt;=1,ISNUMBER($H394),MOD($H394,1)=0,$H394&gt;=1,$H394&lt;=5,ISNUMBER($J394),MOD($J394,1)=0,$J394&gt;=1,$J394&lt;=5,ISNUMBER($L394),MOD($L394,1)=0,$L394&gt;=1,$L394&lt;=5,ISNUMBER($N394),$N394&gt;=0,$O394="",$P394&lt;&gt;"",$Q394&lt;&gt;"",$R394="runner_monotonic_complete"),"ScorableComplete",IF(AND($A394&lt;&gt;"",$B394&lt;&gt;"",$C394&lt;&gt;"",$D394&lt;&gt;"",$E394&lt;&gt;"",$F394&lt;&gt;"",ISNUMBER($G394),$G394&gt;=1,OR($O394="insufficient_source_evidence",$O394="operational_failure"),$H394="",$J394="",$L394="",$N394="",$Q394&lt;&gt;"",$R394="runner_monotonic_not_scorable"),"NotScorable","Partial")))</x:f>
        <x:v>Pending</x:v>
      </x:c>
    </x:row>
    <x:row r="395">
      <x:c r="A395" s="44"/>
      <x:c r="B395" s="44"/>
      <x:c r="C395" s="44"/>
      <x:c r="D395" s="44"/>
      <x:c r="E395" s="44"/>
      <x:c r="F395" s="44"/>
      <x:c r="G395" s="44"/>
      <x:c r="H395" s="44"/>
      <x:c r="I395" s="44"/>
      <x:c r="J395" s="44"/>
      <x:c r="K395" s="44"/>
      <x:c r="L395" s="44"/>
      <x:c r="M395" s="44"/>
      <x:c r="N395" s="50"/>
      <x:c r="O395" s="44"/>
      <x:c r="P395" s="53"/>
      <x:c r="Q395" s="53"/>
      <x:c r="R395" s="44"/>
      <x:c r="S395" s="47" t="str">
        <x:f>IF(COUNTA($H395:$R395)=0,"Pending",IF(AND($A395&lt;&gt;"",$B395&lt;&gt;"",$C395&lt;&gt;"",$D395&lt;&gt;"",$E395&lt;&gt;"",$F395&lt;&gt;"",ISNUMBER($G395),$G395&gt;=1,ISNUMBER($H395),MOD($H395,1)=0,$H395&gt;=1,$H395&lt;=5,ISNUMBER($J395),MOD($J395,1)=0,$J395&gt;=1,$J395&lt;=5,ISNUMBER($L395),MOD($L395,1)=0,$L395&gt;=1,$L395&lt;=5,ISNUMBER($N395),$N395&gt;=0,$O395="",$P395&lt;&gt;"",$Q395&lt;&gt;"",$R395="runner_monotonic_complete"),"ScorableComplete",IF(AND($A395&lt;&gt;"",$B395&lt;&gt;"",$C395&lt;&gt;"",$D395&lt;&gt;"",$E395&lt;&gt;"",$F395&lt;&gt;"",ISNUMBER($G395),$G395&gt;=1,OR($O395="insufficient_source_evidence",$O395="operational_failure"),$H395="",$J395="",$L395="",$N395="",$Q395&lt;&gt;"",$R395="runner_monotonic_not_scorable"),"NotScorable","Partial")))</x:f>
        <x:v>Pending</x:v>
      </x:c>
    </x:row>
    <x:row r="396">
      <x:c r="A396" s="44"/>
      <x:c r="B396" s="44"/>
      <x:c r="C396" s="44"/>
      <x:c r="D396" s="44"/>
      <x:c r="E396" s="44"/>
      <x:c r="F396" s="44"/>
      <x:c r="G396" s="44"/>
      <x:c r="H396" s="44"/>
      <x:c r="I396" s="44"/>
      <x:c r="J396" s="44"/>
      <x:c r="K396" s="44"/>
      <x:c r="L396" s="44"/>
      <x:c r="M396" s="44"/>
      <x:c r="N396" s="50"/>
      <x:c r="O396" s="44"/>
      <x:c r="P396" s="53"/>
      <x:c r="Q396" s="53"/>
      <x:c r="R396" s="44"/>
      <x:c r="S396" s="47" t="str">
        <x:f>IF(COUNTA($H396:$R396)=0,"Pending",IF(AND($A396&lt;&gt;"",$B396&lt;&gt;"",$C396&lt;&gt;"",$D396&lt;&gt;"",$E396&lt;&gt;"",$F396&lt;&gt;"",ISNUMBER($G396),$G396&gt;=1,ISNUMBER($H396),MOD($H396,1)=0,$H396&gt;=1,$H396&lt;=5,ISNUMBER($J396),MOD($J396,1)=0,$J396&gt;=1,$J396&lt;=5,ISNUMBER($L396),MOD($L396,1)=0,$L396&gt;=1,$L396&lt;=5,ISNUMBER($N396),$N396&gt;=0,$O396="",$P396&lt;&gt;"",$Q396&lt;&gt;"",$R396="runner_monotonic_complete"),"ScorableComplete",IF(AND($A396&lt;&gt;"",$B396&lt;&gt;"",$C396&lt;&gt;"",$D396&lt;&gt;"",$E396&lt;&gt;"",$F396&lt;&gt;"",ISNUMBER($G396),$G396&gt;=1,OR($O396="insufficient_source_evidence",$O396="operational_failure"),$H396="",$J396="",$L396="",$N396="",$Q396&lt;&gt;"",$R396="runner_monotonic_not_scorable"),"NotScorable","Partial")))</x:f>
        <x:v>Pending</x:v>
      </x:c>
    </x:row>
    <x:row r="397">
      <x:c r="A397" s="44"/>
      <x:c r="B397" s="44"/>
      <x:c r="C397" s="44"/>
      <x:c r="D397" s="44"/>
      <x:c r="E397" s="44"/>
      <x:c r="F397" s="44"/>
      <x:c r="G397" s="44"/>
      <x:c r="H397" s="44"/>
      <x:c r="I397" s="44"/>
      <x:c r="J397" s="44"/>
      <x:c r="K397" s="44"/>
      <x:c r="L397" s="44"/>
      <x:c r="M397" s="44"/>
      <x:c r="N397" s="50"/>
      <x:c r="O397" s="44"/>
      <x:c r="P397" s="53"/>
      <x:c r="Q397" s="53"/>
      <x:c r="R397" s="44"/>
      <x:c r="S397" s="47" t="str">
        <x:f>IF(COUNTA($H397:$R397)=0,"Pending",IF(AND($A397&lt;&gt;"",$B397&lt;&gt;"",$C397&lt;&gt;"",$D397&lt;&gt;"",$E397&lt;&gt;"",$F397&lt;&gt;"",ISNUMBER($G397),$G397&gt;=1,ISNUMBER($H397),MOD($H397,1)=0,$H397&gt;=1,$H397&lt;=5,ISNUMBER($J397),MOD($J397,1)=0,$J397&gt;=1,$J397&lt;=5,ISNUMBER($L397),MOD($L397,1)=0,$L397&gt;=1,$L397&lt;=5,ISNUMBER($N397),$N397&gt;=0,$O397="",$P397&lt;&gt;"",$Q397&lt;&gt;"",$R397="runner_monotonic_complete"),"ScorableComplete",IF(AND($A397&lt;&gt;"",$B397&lt;&gt;"",$C397&lt;&gt;"",$D397&lt;&gt;"",$E397&lt;&gt;"",$F397&lt;&gt;"",ISNUMBER($G397),$G397&gt;=1,OR($O397="insufficient_source_evidence",$O397="operational_failure"),$H397="",$J397="",$L397="",$N397="",$Q397&lt;&gt;"",$R397="runner_monotonic_not_scorable"),"NotScorable","Partial")))</x:f>
        <x:v>Pending</x:v>
      </x:c>
    </x:row>
    <x:row r="398">
      <x:c r="A398" s="44"/>
      <x:c r="B398" s="44"/>
      <x:c r="C398" s="44"/>
      <x:c r="D398" s="44"/>
      <x:c r="E398" s="44"/>
      <x:c r="F398" s="44"/>
      <x:c r="G398" s="44"/>
      <x:c r="H398" s="44"/>
      <x:c r="I398" s="44"/>
      <x:c r="J398" s="44"/>
      <x:c r="K398" s="44"/>
      <x:c r="L398" s="44"/>
      <x:c r="M398" s="44"/>
      <x:c r="N398" s="50"/>
      <x:c r="O398" s="44"/>
      <x:c r="P398" s="53"/>
      <x:c r="Q398" s="53"/>
      <x:c r="R398" s="44"/>
      <x:c r="S398" s="47" t="str">
        <x:f>IF(COUNTA($H398:$R398)=0,"Pending",IF(AND($A398&lt;&gt;"",$B398&lt;&gt;"",$C398&lt;&gt;"",$D398&lt;&gt;"",$E398&lt;&gt;"",$F398&lt;&gt;"",ISNUMBER($G398),$G398&gt;=1,ISNUMBER($H398),MOD($H398,1)=0,$H398&gt;=1,$H398&lt;=5,ISNUMBER($J398),MOD($J398,1)=0,$J398&gt;=1,$J398&lt;=5,ISNUMBER($L398),MOD($L398,1)=0,$L398&gt;=1,$L398&lt;=5,ISNUMBER($N398),$N398&gt;=0,$O398="",$P398&lt;&gt;"",$Q398&lt;&gt;"",$R398="runner_monotonic_complete"),"ScorableComplete",IF(AND($A398&lt;&gt;"",$B398&lt;&gt;"",$C398&lt;&gt;"",$D398&lt;&gt;"",$E398&lt;&gt;"",$F398&lt;&gt;"",ISNUMBER($G398),$G398&gt;=1,OR($O398="insufficient_source_evidence",$O398="operational_failure"),$H398="",$J398="",$L398="",$N398="",$Q398&lt;&gt;"",$R398="runner_monotonic_not_scorable"),"NotScorable","Partial")))</x:f>
        <x:v>Pending</x:v>
      </x:c>
    </x:row>
    <x:row r="399">
      <x:c r="A399" s="44"/>
      <x:c r="B399" s="44"/>
      <x:c r="C399" s="44"/>
      <x:c r="D399" s="44"/>
      <x:c r="E399" s="44"/>
      <x:c r="F399" s="44"/>
      <x:c r="G399" s="44"/>
      <x:c r="H399" s="44"/>
      <x:c r="I399" s="44"/>
      <x:c r="J399" s="44"/>
      <x:c r="K399" s="44"/>
      <x:c r="L399" s="44"/>
      <x:c r="M399" s="44"/>
      <x:c r="N399" s="50"/>
      <x:c r="O399" s="44"/>
      <x:c r="P399" s="53"/>
      <x:c r="Q399" s="53"/>
      <x:c r="R399" s="44"/>
      <x:c r="S399" s="47" t="str">
        <x:f>IF(COUNTA($H399:$R399)=0,"Pending",IF(AND($A399&lt;&gt;"",$B399&lt;&gt;"",$C399&lt;&gt;"",$D399&lt;&gt;"",$E399&lt;&gt;"",$F399&lt;&gt;"",ISNUMBER($G399),$G399&gt;=1,ISNUMBER($H399),MOD($H399,1)=0,$H399&gt;=1,$H399&lt;=5,ISNUMBER($J399),MOD($J399,1)=0,$J399&gt;=1,$J399&lt;=5,ISNUMBER($L399),MOD($L399,1)=0,$L399&gt;=1,$L399&lt;=5,ISNUMBER($N399),$N399&gt;=0,$O399="",$P399&lt;&gt;"",$Q399&lt;&gt;"",$R399="runner_monotonic_complete"),"ScorableComplete",IF(AND($A399&lt;&gt;"",$B399&lt;&gt;"",$C399&lt;&gt;"",$D399&lt;&gt;"",$E399&lt;&gt;"",$F399&lt;&gt;"",ISNUMBER($G399),$G399&gt;=1,OR($O399="insufficient_source_evidence",$O399="operational_failure"),$H399="",$J399="",$L399="",$N399="",$Q399&lt;&gt;"",$R399="runner_monotonic_not_scorable"),"NotScorable","Partial")))</x:f>
        <x:v>Pending</x:v>
      </x:c>
    </x:row>
    <x:row r="400">
      <x:c r="A400" s="44"/>
      <x:c r="B400" s="44"/>
      <x:c r="C400" s="44"/>
      <x:c r="D400" s="44"/>
      <x:c r="E400" s="44"/>
      <x:c r="F400" s="44"/>
      <x:c r="G400" s="44"/>
      <x:c r="H400" s="44"/>
      <x:c r="I400" s="44"/>
      <x:c r="J400" s="44"/>
      <x:c r="K400" s="44"/>
      <x:c r="L400" s="44"/>
      <x:c r="M400" s="44"/>
      <x:c r="N400" s="50"/>
      <x:c r="O400" s="44"/>
      <x:c r="P400" s="53"/>
      <x:c r="Q400" s="53"/>
      <x:c r="R400" s="44"/>
      <x:c r="S400" s="47" t="str">
        <x:f>IF(COUNTA($H400:$R400)=0,"Pending",IF(AND($A400&lt;&gt;"",$B400&lt;&gt;"",$C400&lt;&gt;"",$D400&lt;&gt;"",$E400&lt;&gt;"",$F400&lt;&gt;"",ISNUMBER($G400),$G400&gt;=1,ISNUMBER($H400),MOD($H400,1)=0,$H400&gt;=1,$H400&lt;=5,ISNUMBER($J400),MOD($J400,1)=0,$J400&gt;=1,$J400&lt;=5,ISNUMBER($L400),MOD($L400,1)=0,$L400&gt;=1,$L400&lt;=5,ISNUMBER($N400),$N400&gt;=0,$O400="",$P400&lt;&gt;"",$Q400&lt;&gt;"",$R400="runner_monotonic_complete"),"ScorableComplete",IF(AND($A400&lt;&gt;"",$B400&lt;&gt;"",$C400&lt;&gt;"",$D400&lt;&gt;"",$E400&lt;&gt;"",$F400&lt;&gt;"",ISNUMBER($G400),$G400&gt;=1,OR($O400="insufficient_source_evidence",$O400="operational_failure"),$H400="",$J400="",$L400="",$N400="",$Q400&lt;&gt;"",$R400="runner_monotonic_not_scorable"),"NotScorable","Partial")))</x:f>
        <x:v>Pending</x:v>
      </x:c>
    </x:row>
    <x:row r="401">
      <x:c r="A401" s="44"/>
      <x:c r="B401" s="44"/>
      <x:c r="C401" s="44"/>
      <x:c r="D401" s="44"/>
      <x:c r="E401" s="44"/>
      <x:c r="F401" s="44"/>
      <x:c r="G401" s="44"/>
      <x:c r="H401" s="44"/>
      <x:c r="I401" s="44"/>
      <x:c r="J401" s="44"/>
      <x:c r="K401" s="44"/>
      <x:c r="L401" s="44"/>
      <x:c r="M401" s="44"/>
      <x:c r="N401" s="50"/>
      <x:c r="O401" s="44"/>
      <x:c r="P401" s="53"/>
      <x:c r="Q401" s="53"/>
      <x:c r="R401" s="44"/>
      <x:c r="S401" s="47" t="str">
        <x:f>IF(COUNTA($H401:$R401)=0,"Pending",IF(AND($A401&lt;&gt;"",$B401&lt;&gt;"",$C401&lt;&gt;"",$D401&lt;&gt;"",$E401&lt;&gt;"",$F401&lt;&gt;"",ISNUMBER($G401),$G401&gt;=1,ISNUMBER($H401),MOD($H401,1)=0,$H401&gt;=1,$H401&lt;=5,ISNUMBER($J401),MOD($J401,1)=0,$J401&gt;=1,$J401&lt;=5,ISNUMBER($L401),MOD($L401,1)=0,$L401&gt;=1,$L401&lt;=5,ISNUMBER($N401),$N401&gt;=0,$O401="",$P401&lt;&gt;"",$Q401&lt;&gt;"",$R401="runner_monotonic_complete"),"ScorableComplete",IF(AND($A401&lt;&gt;"",$B401&lt;&gt;"",$C401&lt;&gt;"",$D401&lt;&gt;"",$E401&lt;&gt;"",$F401&lt;&gt;"",ISNUMBER($G401),$G401&gt;=1,OR($O401="insufficient_source_evidence",$O401="operational_failure"),$H401="",$J401="",$L401="",$N401="",$Q401&lt;&gt;"",$R401="runner_monotonic_not_scorable"),"NotScorable","Partial")))</x:f>
        <x:v>Pending</x:v>
      </x:c>
    </x:row>
    <x:row r="402">
      <x:c r="A402" s="44"/>
      <x:c r="B402" s="44"/>
      <x:c r="C402" s="44"/>
      <x:c r="D402" s="44"/>
      <x:c r="E402" s="44"/>
      <x:c r="F402" s="44"/>
      <x:c r="G402" s="44"/>
      <x:c r="H402" s="44"/>
      <x:c r="I402" s="44"/>
      <x:c r="J402" s="44"/>
      <x:c r="K402" s="44"/>
      <x:c r="L402" s="44"/>
      <x:c r="M402" s="44"/>
      <x:c r="N402" s="50"/>
      <x:c r="O402" s="44"/>
      <x:c r="P402" s="53"/>
      <x:c r="Q402" s="53"/>
      <x:c r="R402" s="44"/>
      <x:c r="S402" s="47" t="str">
        <x:f>IF(COUNTA($H402:$R402)=0,"Pending",IF(AND($A402&lt;&gt;"",$B402&lt;&gt;"",$C402&lt;&gt;"",$D402&lt;&gt;"",$E402&lt;&gt;"",$F402&lt;&gt;"",ISNUMBER($G402),$G402&gt;=1,ISNUMBER($H402),MOD($H402,1)=0,$H402&gt;=1,$H402&lt;=5,ISNUMBER($J402),MOD($J402,1)=0,$J402&gt;=1,$J402&lt;=5,ISNUMBER($L402),MOD($L402,1)=0,$L402&gt;=1,$L402&lt;=5,ISNUMBER($N402),$N402&gt;=0,$O402="",$P402&lt;&gt;"",$Q402&lt;&gt;"",$R402="runner_monotonic_complete"),"ScorableComplete",IF(AND($A402&lt;&gt;"",$B402&lt;&gt;"",$C402&lt;&gt;"",$D402&lt;&gt;"",$E402&lt;&gt;"",$F402&lt;&gt;"",ISNUMBER($G402),$G402&gt;=1,OR($O402="insufficient_source_evidence",$O402="operational_failure"),$H402="",$J402="",$L402="",$N402="",$Q402&lt;&gt;"",$R402="runner_monotonic_not_scorable"),"NotScorable","Partial")))</x:f>
        <x:v>Pending</x:v>
      </x:c>
    </x:row>
    <x:row r="403">
      <x:c r="A403" s="44"/>
      <x:c r="B403" s="44"/>
      <x:c r="C403" s="44"/>
      <x:c r="D403" s="44"/>
      <x:c r="E403" s="44"/>
      <x:c r="F403" s="44"/>
      <x:c r="G403" s="44"/>
      <x:c r="H403" s="44"/>
      <x:c r="I403" s="44"/>
      <x:c r="J403" s="44"/>
      <x:c r="K403" s="44"/>
      <x:c r="L403" s="44"/>
      <x:c r="M403" s="44"/>
      <x:c r="N403" s="50"/>
      <x:c r="O403" s="44"/>
      <x:c r="P403" s="53"/>
      <x:c r="Q403" s="53"/>
      <x:c r="R403" s="44"/>
      <x:c r="S403" s="47" t="str">
        <x:f>IF(COUNTA($H403:$R403)=0,"Pending",IF(AND($A403&lt;&gt;"",$B403&lt;&gt;"",$C403&lt;&gt;"",$D403&lt;&gt;"",$E403&lt;&gt;"",$F403&lt;&gt;"",ISNUMBER($G403),$G403&gt;=1,ISNUMBER($H403),MOD($H403,1)=0,$H403&gt;=1,$H403&lt;=5,ISNUMBER($J403),MOD($J403,1)=0,$J403&gt;=1,$J403&lt;=5,ISNUMBER($L403),MOD($L403,1)=0,$L403&gt;=1,$L403&lt;=5,ISNUMBER($N403),$N403&gt;=0,$O403="",$P403&lt;&gt;"",$Q403&lt;&gt;"",$R403="runner_monotonic_complete"),"ScorableComplete",IF(AND($A403&lt;&gt;"",$B403&lt;&gt;"",$C403&lt;&gt;"",$D403&lt;&gt;"",$E403&lt;&gt;"",$F403&lt;&gt;"",ISNUMBER($G403),$G403&gt;=1,OR($O403="insufficient_source_evidence",$O403="operational_failure"),$H403="",$J403="",$L403="",$N403="",$Q403&lt;&gt;"",$R403="runner_monotonic_not_scorable"),"NotScorable","Partial")))</x:f>
        <x:v>Pending</x:v>
      </x:c>
    </x:row>
    <x:row r="404">
      <x:c r="A404" s="44"/>
      <x:c r="B404" s="44"/>
      <x:c r="C404" s="44"/>
      <x:c r="D404" s="44"/>
      <x:c r="E404" s="44"/>
      <x:c r="F404" s="44"/>
      <x:c r="G404" s="44"/>
      <x:c r="H404" s="44"/>
      <x:c r="I404" s="44"/>
      <x:c r="J404" s="44"/>
      <x:c r="K404" s="44"/>
      <x:c r="L404" s="44"/>
      <x:c r="M404" s="44"/>
      <x:c r="N404" s="50"/>
      <x:c r="O404" s="44"/>
      <x:c r="P404" s="53"/>
      <x:c r="Q404" s="53"/>
      <x:c r="R404" s="44"/>
      <x:c r="S404" s="47" t="str">
        <x:f>IF(COUNTA($H404:$R404)=0,"Pending",IF(AND($A404&lt;&gt;"",$B404&lt;&gt;"",$C404&lt;&gt;"",$D404&lt;&gt;"",$E404&lt;&gt;"",$F404&lt;&gt;"",ISNUMBER($G404),$G404&gt;=1,ISNUMBER($H404),MOD($H404,1)=0,$H404&gt;=1,$H404&lt;=5,ISNUMBER($J404),MOD($J404,1)=0,$J404&gt;=1,$J404&lt;=5,ISNUMBER($L404),MOD($L404,1)=0,$L404&gt;=1,$L404&lt;=5,ISNUMBER($N404),$N404&gt;=0,$O404="",$P404&lt;&gt;"",$Q404&lt;&gt;"",$R404="runner_monotonic_complete"),"ScorableComplete",IF(AND($A404&lt;&gt;"",$B404&lt;&gt;"",$C404&lt;&gt;"",$D404&lt;&gt;"",$E404&lt;&gt;"",$F404&lt;&gt;"",ISNUMBER($G404),$G404&gt;=1,OR($O404="insufficient_source_evidence",$O404="operational_failure"),$H404="",$J404="",$L404="",$N404="",$Q404&lt;&gt;"",$R404="runner_monotonic_not_scorable"),"NotScorable","Partial")))</x:f>
        <x:v>Pending</x:v>
      </x:c>
    </x:row>
    <x:row r="405">
      <x:c r="A405" s="44"/>
      <x:c r="B405" s="44"/>
      <x:c r="C405" s="44"/>
      <x:c r="D405" s="44"/>
      <x:c r="E405" s="44"/>
      <x:c r="F405" s="44"/>
      <x:c r="G405" s="44"/>
      <x:c r="H405" s="44"/>
      <x:c r="I405" s="44"/>
      <x:c r="J405" s="44"/>
      <x:c r="K405" s="44"/>
      <x:c r="L405" s="44"/>
      <x:c r="M405" s="44"/>
      <x:c r="N405" s="50"/>
      <x:c r="O405" s="44"/>
      <x:c r="P405" s="53"/>
      <x:c r="Q405" s="53"/>
      <x:c r="R405" s="44"/>
      <x:c r="S405" s="47" t="str">
        <x:f>IF(COUNTA($H405:$R405)=0,"Pending",IF(AND($A405&lt;&gt;"",$B405&lt;&gt;"",$C405&lt;&gt;"",$D405&lt;&gt;"",$E405&lt;&gt;"",$F405&lt;&gt;"",ISNUMBER($G405),$G405&gt;=1,ISNUMBER($H405),MOD($H405,1)=0,$H405&gt;=1,$H405&lt;=5,ISNUMBER($J405),MOD($J405,1)=0,$J405&gt;=1,$J405&lt;=5,ISNUMBER($L405),MOD($L405,1)=0,$L405&gt;=1,$L405&lt;=5,ISNUMBER($N405),$N405&gt;=0,$O405="",$P405&lt;&gt;"",$Q405&lt;&gt;"",$R405="runner_monotonic_complete"),"ScorableComplete",IF(AND($A405&lt;&gt;"",$B405&lt;&gt;"",$C405&lt;&gt;"",$D405&lt;&gt;"",$E405&lt;&gt;"",$F405&lt;&gt;"",ISNUMBER($G405),$G405&gt;=1,OR($O405="insufficient_source_evidence",$O405="operational_failure"),$H405="",$J405="",$L405="",$N405="",$Q405&lt;&gt;"",$R405="runner_monotonic_not_scorable"),"NotScorable","Partial")))</x:f>
        <x:v>Pending</x:v>
      </x:c>
    </x:row>
    <x:row r="406">
      <x:c r="A406" s="44"/>
      <x:c r="B406" s="44"/>
      <x:c r="C406" s="44"/>
      <x:c r="D406" s="44"/>
      <x:c r="E406" s="44"/>
      <x:c r="F406" s="44"/>
      <x:c r="G406" s="44"/>
      <x:c r="H406" s="44"/>
      <x:c r="I406" s="44"/>
      <x:c r="J406" s="44"/>
      <x:c r="K406" s="44"/>
      <x:c r="L406" s="44"/>
      <x:c r="M406" s="44"/>
      <x:c r="N406" s="50"/>
      <x:c r="O406" s="44"/>
      <x:c r="P406" s="53"/>
      <x:c r="Q406" s="53"/>
      <x:c r="R406" s="44"/>
      <x:c r="S406" s="47" t="str">
        <x:f>IF(COUNTA($H406:$R406)=0,"Pending",IF(AND($A406&lt;&gt;"",$B406&lt;&gt;"",$C406&lt;&gt;"",$D406&lt;&gt;"",$E406&lt;&gt;"",$F406&lt;&gt;"",ISNUMBER($G406),$G406&gt;=1,ISNUMBER($H406),MOD($H406,1)=0,$H406&gt;=1,$H406&lt;=5,ISNUMBER($J406),MOD($J406,1)=0,$J406&gt;=1,$J406&lt;=5,ISNUMBER($L406),MOD($L406,1)=0,$L406&gt;=1,$L406&lt;=5,ISNUMBER($N406),$N406&gt;=0,$O406="",$P406&lt;&gt;"",$Q406&lt;&gt;"",$R406="runner_monotonic_complete"),"ScorableComplete",IF(AND($A406&lt;&gt;"",$B406&lt;&gt;"",$C406&lt;&gt;"",$D406&lt;&gt;"",$E406&lt;&gt;"",$F406&lt;&gt;"",ISNUMBER($G406),$G406&gt;=1,OR($O406="insufficient_source_evidence",$O406="operational_failure"),$H406="",$J406="",$L406="",$N406="",$Q406&lt;&gt;"",$R406="runner_monotonic_not_scorable"),"NotScorable","Partial")))</x:f>
        <x:v>Pending</x:v>
      </x:c>
    </x:row>
    <x:row r="407">
      <x:c r="A407" s="44"/>
      <x:c r="B407" s="44"/>
      <x:c r="C407" s="44"/>
      <x:c r="D407" s="44"/>
      <x:c r="E407" s="44"/>
      <x:c r="F407" s="44"/>
      <x:c r="G407" s="44"/>
      <x:c r="H407" s="44"/>
      <x:c r="I407" s="44"/>
      <x:c r="J407" s="44"/>
      <x:c r="K407" s="44"/>
      <x:c r="L407" s="44"/>
      <x:c r="M407" s="44"/>
      <x:c r="N407" s="50"/>
      <x:c r="O407" s="44"/>
      <x:c r="P407" s="53"/>
      <x:c r="Q407" s="53"/>
      <x:c r="R407" s="44"/>
      <x:c r="S407" s="47" t="str">
        <x:f>IF(COUNTA($H407:$R407)=0,"Pending",IF(AND($A407&lt;&gt;"",$B407&lt;&gt;"",$C407&lt;&gt;"",$D407&lt;&gt;"",$E407&lt;&gt;"",$F407&lt;&gt;"",ISNUMBER($G407),$G407&gt;=1,ISNUMBER($H407),MOD($H407,1)=0,$H407&gt;=1,$H407&lt;=5,ISNUMBER($J407),MOD($J407,1)=0,$J407&gt;=1,$J407&lt;=5,ISNUMBER($L407),MOD($L407,1)=0,$L407&gt;=1,$L407&lt;=5,ISNUMBER($N407),$N407&gt;=0,$O407="",$P407&lt;&gt;"",$Q407&lt;&gt;"",$R407="runner_monotonic_complete"),"ScorableComplete",IF(AND($A407&lt;&gt;"",$B407&lt;&gt;"",$C407&lt;&gt;"",$D407&lt;&gt;"",$E407&lt;&gt;"",$F407&lt;&gt;"",ISNUMBER($G407),$G407&gt;=1,OR($O407="insufficient_source_evidence",$O407="operational_failure"),$H407="",$J407="",$L407="",$N407="",$Q407&lt;&gt;"",$R407="runner_monotonic_not_scorable"),"NotScorable","Partial")))</x:f>
        <x:v>Pending</x:v>
      </x:c>
    </x:row>
    <x:row r="408">
      <x:c r="A408" s="44"/>
      <x:c r="B408" s="44"/>
      <x:c r="C408" s="44"/>
      <x:c r="D408" s="44"/>
      <x:c r="E408" s="44"/>
      <x:c r="F408" s="44"/>
      <x:c r="G408" s="44"/>
      <x:c r="H408" s="44"/>
      <x:c r="I408" s="44"/>
      <x:c r="J408" s="44"/>
      <x:c r="K408" s="44"/>
      <x:c r="L408" s="44"/>
      <x:c r="M408" s="44"/>
      <x:c r="N408" s="50"/>
      <x:c r="O408" s="44"/>
      <x:c r="P408" s="53"/>
      <x:c r="Q408" s="53"/>
      <x:c r="R408" s="44"/>
      <x:c r="S408" s="47" t="str">
        <x:f>IF(COUNTA($H408:$R408)=0,"Pending",IF(AND($A408&lt;&gt;"",$B408&lt;&gt;"",$C408&lt;&gt;"",$D408&lt;&gt;"",$E408&lt;&gt;"",$F408&lt;&gt;"",ISNUMBER($G408),$G408&gt;=1,ISNUMBER($H408),MOD($H408,1)=0,$H408&gt;=1,$H408&lt;=5,ISNUMBER($J408),MOD($J408,1)=0,$J408&gt;=1,$J408&lt;=5,ISNUMBER($L408),MOD($L408,1)=0,$L408&gt;=1,$L408&lt;=5,ISNUMBER($N408),$N408&gt;=0,$O408="",$P408&lt;&gt;"",$Q408&lt;&gt;"",$R408="runner_monotonic_complete"),"ScorableComplete",IF(AND($A408&lt;&gt;"",$B408&lt;&gt;"",$C408&lt;&gt;"",$D408&lt;&gt;"",$E408&lt;&gt;"",$F408&lt;&gt;"",ISNUMBER($G408),$G408&gt;=1,OR($O408="insufficient_source_evidence",$O408="operational_failure"),$H408="",$J408="",$L408="",$N408="",$Q408&lt;&gt;"",$R408="runner_monotonic_not_scorable"),"NotScorable","Partial")))</x:f>
        <x:v>Pending</x:v>
      </x:c>
    </x:row>
    <x:row r="409">
      <x:c r="A409" s="44"/>
      <x:c r="B409" s="44"/>
      <x:c r="C409" s="44"/>
      <x:c r="D409" s="44"/>
      <x:c r="E409" s="44"/>
      <x:c r="F409" s="44"/>
      <x:c r="G409" s="44"/>
      <x:c r="H409" s="44"/>
      <x:c r="I409" s="44"/>
      <x:c r="J409" s="44"/>
      <x:c r="K409" s="44"/>
      <x:c r="L409" s="44"/>
      <x:c r="M409" s="44"/>
      <x:c r="N409" s="50"/>
      <x:c r="O409" s="44"/>
      <x:c r="P409" s="53"/>
      <x:c r="Q409" s="53"/>
      <x:c r="R409" s="44"/>
      <x:c r="S409" s="47" t="str">
        <x:f>IF(COUNTA($H409:$R409)=0,"Pending",IF(AND($A409&lt;&gt;"",$B409&lt;&gt;"",$C409&lt;&gt;"",$D409&lt;&gt;"",$E409&lt;&gt;"",$F409&lt;&gt;"",ISNUMBER($G409),$G409&gt;=1,ISNUMBER($H409),MOD($H409,1)=0,$H409&gt;=1,$H409&lt;=5,ISNUMBER($J409),MOD($J409,1)=0,$J409&gt;=1,$J409&lt;=5,ISNUMBER($L409),MOD($L409,1)=0,$L409&gt;=1,$L409&lt;=5,ISNUMBER($N409),$N409&gt;=0,$O409="",$P409&lt;&gt;"",$Q409&lt;&gt;"",$R409="runner_monotonic_complete"),"ScorableComplete",IF(AND($A409&lt;&gt;"",$B409&lt;&gt;"",$C409&lt;&gt;"",$D409&lt;&gt;"",$E409&lt;&gt;"",$F409&lt;&gt;"",ISNUMBER($G409),$G409&gt;=1,OR($O409="insufficient_source_evidence",$O409="operational_failure"),$H409="",$J409="",$L409="",$N409="",$Q409&lt;&gt;"",$R409="runner_monotonic_not_scorable"),"NotScorable","Partial")))</x:f>
        <x:v>Pending</x:v>
      </x:c>
    </x:row>
    <x:row r="410">
      <x:c r="A410" s="44"/>
      <x:c r="B410" s="44"/>
      <x:c r="C410" s="44"/>
      <x:c r="D410" s="44"/>
      <x:c r="E410" s="44"/>
      <x:c r="F410" s="44"/>
      <x:c r="G410" s="44"/>
      <x:c r="H410" s="44"/>
      <x:c r="I410" s="44"/>
      <x:c r="J410" s="44"/>
      <x:c r="K410" s="44"/>
      <x:c r="L410" s="44"/>
      <x:c r="M410" s="44"/>
      <x:c r="N410" s="50"/>
      <x:c r="O410" s="44"/>
      <x:c r="P410" s="53"/>
      <x:c r="Q410" s="53"/>
      <x:c r="R410" s="44"/>
      <x:c r="S410" s="47" t="str">
        <x:f>IF(COUNTA($H410:$R410)=0,"Pending",IF(AND($A410&lt;&gt;"",$B410&lt;&gt;"",$C410&lt;&gt;"",$D410&lt;&gt;"",$E410&lt;&gt;"",$F410&lt;&gt;"",ISNUMBER($G410),$G410&gt;=1,ISNUMBER($H410),MOD($H410,1)=0,$H410&gt;=1,$H410&lt;=5,ISNUMBER($J410),MOD($J410,1)=0,$J410&gt;=1,$J410&lt;=5,ISNUMBER($L410),MOD($L410,1)=0,$L410&gt;=1,$L410&lt;=5,ISNUMBER($N410),$N410&gt;=0,$O410="",$P410&lt;&gt;"",$Q410&lt;&gt;"",$R410="runner_monotonic_complete"),"ScorableComplete",IF(AND($A410&lt;&gt;"",$B410&lt;&gt;"",$C410&lt;&gt;"",$D410&lt;&gt;"",$E410&lt;&gt;"",$F410&lt;&gt;"",ISNUMBER($G410),$G410&gt;=1,OR($O410="insufficient_source_evidence",$O410="operational_failure"),$H410="",$J410="",$L410="",$N410="",$Q410&lt;&gt;"",$R410="runner_monotonic_not_scorable"),"NotScorable","Partial")))</x:f>
        <x:v>Pending</x:v>
      </x:c>
    </x:row>
    <x:row r="411">
      <x:c r="A411" s="44"/>
      <x:c r="B411" s="44"/>
      <x:c r="C411" s="44"/>
      <x:c r="D411" s="44"/>
      <x:c r="E411" s="44"/>
      <x:c r="F411" s="44"/>
      <x:c r="G411" s="44"/>
      <x:c r="H411" s="44"/>
      <x:c r="I411" s="44"/>
      <x:c r="J411" s="44"/>
      <x:c r="K411" s="44"/>
      <x:c r="L411" s="44"/>
      <x:c r="M411" s="44"/>
      <x:c r="N411" s="50"/>
      <x:c r="O411" s="44"/>
      <x:c r="P411" s="53"/>
      <x:c r="Q411" s="53"/>
      <x:c r="R411" s="44"/>
      <x:c r="S411" s="47" t="str">
        <x:f>IF(COUNTA($H411:$R411)=0,"Pending",IF(AND($A411&lt;&gt;"",$B411&lt;&gt;"",$C411&lt;&gt;"",$D411&lt;&gt;"",$E411&lt;&gt;"",$F411&lt;&gt;"",ISNUMBER($G411),$G411&gt;=1,ISNUMBER($H411),MOD($H411,1)=0,$H411&gt;=1,$H411&lt;=5,ISNUMBER($J411),MOD($J411,1)=0,$J411&gt;=1,$J411&lt;=5,ISNUMBER($L411),MOD($L411,1)=0,$L411&gt;=1,$L411&lt;=5,ISNUMBER($N411),$N411&gt;=0,$O411="",$P411&lt;&gt;"",$Q411&lt;&gt;"",$R411="runner_monotonic_complete"),"ScorableComplete",IF(AND($A411&lt;&gt;"",$B411&lt;&gt;"",$C411&lt;&gt;"",$D411&lt;&gt;"",$E411&lt;&gt;"",$F411&lt;&gt;"",ISNUMBER($G411),$G411&gt;=1,OR($O411="insufficient_source_evidence",$O411="operational_failure"),$H411="",$J411="",$L411="",$N411="",$Q411&lt;&gt;"",$R411="runner_monotonic_not_scorable"),"NotScorable","Partial")))</x:f>
        <x:v>Pending</x:v>
      </x:c>
    </x:row>
    <x:row r="412">
      <x:c r="A412" s="44"/>
      <x:c r="B412" s="44"/>
      <x:c r="C412" s="44"/>
      <x:c r="D412" s="44"/>
      <x:c r="E412" s="44"/>
      <x:c r="F412" s="44"/>
      <x:c r="G412" s="44"/>
      <x:c r="H412" s="44"/>
      <x:c r="I412" s="44"/>
      <x:c r="J412" s="44"/>
      <x:c r="K412" s="44"/>
      <x:c r="L412" s="44"/>
      <x:c r="M412" s="44"/>
      <x:c r="N412" s="50"/>
      <x:c r="O412" s="44"/>
      <x:c r="P412" s="53"/>
      <x:c r="Q412" s="53"/>
      <x:c r="R412" s="44"/>
      <x:c r="S412" s="47" t="str">
        <x:f>IF(COUNTA($H412:$R412)=0,"Pending",IF(AND($A412&lt;&gt;"",$B412&lt;&gt;"",$C412&lt;&gt;"",$D412&lt;&gt;"",$E412&lt;&gt;"",$F412&lt;&gt;"",ISNUMBER($G412),$G412&gt;=1,ISNUMBER($H412),MOD($H412,1)=0,$H412&gt;=1,$H412&lt;=5,ISNUMBER($J412),MOD($J412,1)=0,$J412&gt;=1,$J412&lt;=5,ISNUMBER($L412),MOD($L412,1)=0,$L412&gt;=1,$L412&lt;=5,ISNUMBER($N412),$N412&gt;=0,$O412="",$P412&lt;&gt;"",$Q412&lt;&gt;"",$R412="runner_monotonic_complete"),"ScorableComplete",IF(AND($A412&lt;&gt;"",$B412&lt;&gt;"",$C412&lt;&gt;"",$D412&lt;&gt;"",$E412&lt;&gt;"",$F412&lt;&gt;"",ISNUMBER($G412),$G412&gt;=1,OR($O412="insufficient_source_evidence",$O412="operational_failure"),$H412="",$J412="",$L412="",$N412="",$Q412&lt;&gt;"",$R412="runner_monotonic_not_scorable"),"NotScorable","Partial")))</x:f>
        <x:v>Pending</x:v>
      </x:c>
    </x:row>
    <x:row r="413">
      <x:c r="A413" s="44"/>
      <x:c r="B413" s="44"/>
      <x:c r="C413" s="44"/>
      <x:c r="D413" s="44"/>
      <x:c r="E413" s="44"/>
      <x:c r="F413" s="44"/>
      <x:c r="G413" s="44"/>
      <x:c r="H413" s="44"/>
      <x:c r="I413" s="44"/>
      <x:c r="J413" s="44"/>
      <x:c r="K413" s="44"/>
      <x:c r="L413" s="44"/>
      <x:c r="M413" s="44"/>
      <x:c r="N413" s="50"/>
      <x:c r="O413" s="44"/>
      <x:c r="P413" s="53"/>
      <x:c r="Q413" s="53"/>
      <x:c r="R413" s="44"/>
      <x:c r="S413" s="47" t="str">
        <x:f>IF(COUNTA($H413:$R413)=0,"Pending",IF(AND($A413&lt;&gt;"",$B413&lt;&gt;"",$C413&lt;&gt;"",$D413&lt;&gt;"",$E413&lt;&gt;"",$F413&lt;&gt;"",ISNUMBER($G413),$G413&gt;=1,ISNUMBER($H413),MOD($H413,1)=0,$H413&gt;=1,$H413&lt;=5,ISNUMBER($J413),MOD($J413,1)=0,$J413&gt;=1,$J413&lt;=5,ISNUMBER($L413),MOD($L413,1)=0,$L413&gt;=1,$L413&lt;=5,ISNUMBER($N413),$N413&gt;=0,$O413="",$P413&lt;&gt;"",$Q413&lt;&gt;"",$R413="runner_monotonic_complete"),"ScorableComplete",IF(AND($A413&lt;&gt;"",$B413&lt;&gt;"",$C413&lt;&gt;"",$D413&lt;&gt;"",$E413&lt;&gt;"",$F413&lt;&gt;"",ISNUMBER($G413),$G413&gt;=1,OR($O413="insufficient_source_evidence",$O413="operational_failure"),$H413="",$J413="",$L413="",$N413="",$Q413&lt;&gt;"",$R413="runner_monotonic_not_scorable"),"NotScorable","Partial")))</x:f>
        <x:v>Pending</x:v>
      </x:c>
    </x:row>
    <x:row r="414">
      <x:c r="A414" s="44"/>
      <x:c r="B414" s="44"/>
      <x:c r="C414" s="44"/>
      <x:c r="D414" s="44"/>
      <x:c r="E414" s="44"/>
      <x:c r="F414" s="44"/>
      <x:c r="G414" s="44"/>
      <x:c r="H414" s="44"/>
      <x:c r="I414" s="44"/>
      <x:c r="J414" s="44"/>
      <x:c r="K414" s="44"/>
      <x:c r="L414" s="44"/>
      <x:c r="M414" s="44"/>
      <x:c r="N414" s="50"/>
      <x:c r="O414" s="44"/>
      <x:c r="P414" s="53"/>
      <x:c r="Q414" s="53"/>
      <x:c r="R414" s="44"/>
      <x:c r="S414" s="47" t="str">
        <x:f>IF(COUNTA($H414:$R414)=0,"Pending",IF(AND($A414&lt;&gt;"",$B414&lt;&gt;"",$C414&lt;&gt;"",$D414&lt;&gt;"",$E414&lt;&gt;"",$F414&lt;&gt;"",ISNUMBER($G414),$G414&gt;=1,ISNUMBER($H414),MOD($H414,1)=0,$H414&gt;=1,$H414&lt;=5,ISNUMBER($J414),MOD($J414,1)=0,$J414&gt;=1,$J414&lt;=5,ISNUMBER($L414),MOD($L414,1)=0,$L414&gt;=1,$L414&lt;=5,ISNUMBER($N414),$N414&gt;=0,$O414="",$P414&lt;&gt;"",$Q414&lt;&gt;"",$R414="runner_monotonic_complete"),"ScorableComplete",IF(AND($A414&lt;&gt;"",$B414&lt;&gt;"",$C414&lt;&gt;"",$D414&lt;&gt;"",$E414&lt;&gt;"",$F414&lt;&gt;"",ISNUMBER($G414),$G414&gt;=1,OR($O414="insufficient_source_evidence",$O414="operational_failure"),$H414="",$J414="",$L414="",$N414="",$Q414&lt;&gt;"",$R414="runner_monotonic_not_scorable"),"NotScorable","Partial")))</x:f>
        <x:v>Pending</x:v>
      </x:c>
    </x:row>
    <x:row r="415">
      <x:c r="A415" s="44"/>
      <x:c r="B415" s="44"/>
      <x:c r="C415" s="44"/>
      <x:c r="D415" s="44"/>
      <x:c r="E415" s="44"/>
      <x:c r="F415" s="44"/>
      <x:c r="G415" s="44"/>
      <x:c r="H415" s="44"/>
      <x:c r="I415" s="44"/>
      <x:c r="J415" s="44"/>
      <x:c r="K415" s="44"/>
      <x:c r="L415" s="44"/>
      <x:c r="M415" s="44"/>
      <x:c r="N415" s="50"/>
      <x:c r="O415" s="44"/>
      <x:c r="P415" s="53"/>
      <x:c r="Q415" s="53"/>
      <x:c r="R415" s="44"/>
      <x:c r="S415" s="47" t="str">
        <x:f>IF(COUNTA($H415:$R415)=0,"Pending",IF(AND($A415&lt;&gt;"",$B415&lt;&gt;"",$C415&lt;&gt;"",$D415&lt;&gt;"",$E415&lt;&gt;"",$F415&lt;&gt;"",ISNUMBER($G415),$G415&gt;=1,ISNUMBER($H415),MOD($H415,1)=0,$H415&gt;=1,$H415&lt;=5,ISNUMBER($J415),MOD($J415,1)=0,$J415&gt;=1,$J415&lt;=5,ISNUMBER($L415),MOD($L415,1)=0,$L415&gt;=1,$L415&lt;=5,ISNUMBER($N415),$N415&gt;=0,$O415="",$P415&lt;&gt;"",$Q415&lt;&gt;"",$R415="runner_monotonic_complete"),"ScorableComplete",IF(AND($A415&lt;&gt;"",$B415&lt;&gt;"",$C415&lt;&gt;"",$D415&lt;&gt;"",$E415&lt;&gt;"",$F415&lt;&gt;"",ISNUMBER($G415),$G415&gt;=1,OR($O415="insufficient_source_evidence",$O415="operational_failure"),$H415="",$J415="",$L415="",$N415="",$Q415&lt;&gt;"",$R415="runner_monotonic_not_scorable"),"NotScorable","Partial")))</x:f>
        <x:v>Pending</x:v>
      </x:c>
    </x:row>
    <x:row r="416">
      <x:c r="A416" s="44"/>
      <x:c r="B416" s="44"/>
      <x:c r="C416" s="44"/>
      <x:c r="D416" s="44"/>
      <x:c r="E416" s="44"/>
      <x:c r="F416" s="44"/>
      <x:c r="G416" s="44"/>
      <x:c r="H416" s="44"/>
      <x:c r="I416" s="44"/>
      <x:c r="J416" s="44"/>
      <x:c r="K416" s="44"/>
      <x:c r="L416" s="44"/>
      <x:c r="M416" s="44"/>
      <x:c r="N416" s="50"/>
      <x:c r="O416" s="44"/>
      <x:c r="P416" s="53"/>
      <x:c r="Q416" s="53"/>
      <x:c r="R416" s="44"/>
      <x:c r="S416" s="47" t="str">
        <x:f>IF(COUNTA($H416:$R416)=0,"Pending",IF(AND($A416&lt;&gt;"",$B416&lt;&gt;"",$C416&lt;&gt;"",$D416&lt;&gt;"",$E416&lt;&gt;"",$F416&lt;&gt;"",ISNUMBER($G416),$G416&gt;=1,ISNUMBER($H416),MOD($H416,1)=0,$H416&gt;=1,$H416&lt;=5,ISNUMBER($J416),MOD($J416,1)=0,$J416&gt;=1,$J416&lt;=5,ISNUMBER($L416),MOD($L416,1)=0,$L416&gt;=1,$L416&lt;=5,ISNUMBER($N416),$N416&gt;=0,$O416="",$P416&lt;&gt;"",$Q416&lt;&gt;"",$R416="runner_monotonic_complete"),"ScorableComplete",IF(AND($A416&lt;&gt;"",$B416&lt;&gt;"",$C416&lt;&gt;"",$D416&lt;&gt;"",$E416&lt;&gt;"",$F416&lt;&gt;"",ISNUMBER($G416),$G416&gt;=1,OR($O416="insufficient_source_evidence",$O416="operational_failure"),$H416="",$J416="",$L416="",$N416="",$Q416&lt;&gt;"",$R416="runner_monotonic_not_scorable"),"NotScorable","Partial")))</x:f>
        <x:v>Pending</x:v>
      </x:c>
    </x:row>
    <x:row r="417">
      <x:c r="A417" s="44"/>
      <x:c r="B417" s="44"/>
      <x:c r="C417" s="44"/>
      <x:c r="D417" s="44"/>
      <x:c r="E417" s="44"/>
      <x:c r="F417" s="44"/>
      <x:c r="G417" s="44"/>
      <x:c r="H417" s="44"/>
      <x:c r="I417" s="44"/>
      <x:c r="J417" s="44"/>
      <x:c r="K417" s="44"/>
      <x:c r="L417" s="44"/>
      <x:c r="M417" s="44"/>
      <x:c r="N417" s="50"/>
      <x:c r="O417" s="44"/>
      <x:c r="P417" s="53"/>
      <x:c r="Q417" s="53"/>
      <x:c r="R417" s="44"/>
      <x:c r="S417" s="47" t="str">
        <x:f>IF(COUNTA($H417:$R417)=0,"Pending",IF(AND($A417&lt;&gt;"",$B417&lt;&gt;"",$C417&lt;&gt;"",$D417&lt;&gt;"",$E417&lt;&gt;"",$F417&lt;&gt;"",ISNUMBER($G417),$G417&gt;=1,ISNUMBER($H417),MOD($H417,1)=0,$H417&gt;=1,$H417&lt;=5,ISNUMBER($J417),MOD($J417,1)=0,$J417&gt;=1,$J417&lt;=5,ISNUMBER($L417),MOD($L417,1)=0,$L417&gt;=1,$L417&lt;=5,ISNUMBER($N417),$N417&gt;=0,$O417="",$P417&lt;&gt;"",$Q417&lt;&gt;"",$R417="runner_monotonic_complete"),"ScorableComplete",IF(AND($A417&lt;&gt;"",$B417&lt;&gt;"",$C417&lt;&gt;"",$D417&lt;&gt;"",$E417&lt;&gt;"",$F417&lt;&gt;"",ISNUMBER($G417),$G417&gt;=1,OR($O417="insufficient_source_evidence",$O417="operational_failure"),$H417="",$J417="",$L417="",$N417="",$Q417&lt;&gt;"",$R417="runner_monotonic_not_scorable"),"NotScorable","Partial")))</x:f>
        <x:v>Pending</x:v>
      </x:c>
    </x:row>
    <x:row r="418">
      <x:c r="A418" s="44"/>
      <x:c r="B418" s="44"/>
      <x:c r="C418" s="44"/>
      <x:c r="D418" s="44"/>
      <x:c r="E418" s="44"/>
      <x:c r="F418" s="44"/>
      <x:c r="G418" s="44"/>
      <x:c r="H418" s="44"/>
      <x:c r="I418" s="44"/>
      <x:c r="J418" s="44"/>
      <x:c r="K418" s="44"/>
      <x:c r="L418" s="44"/>
      <x:c r="M418" s="44"/>
      <x:c r="N418" s="50"/>
      <x:c r="O418" s="44"/>
      <x:c r="P418" s="53"/>
      <x:c r="Q418" s="53"/>
      <x:c r="R418" s="44"/>
      <x:c r="S418" s="47" t="str">
        <x:f>IF(COUNTA($H418:$R418)=0,"Pending",IF(AND($A418&lt;&gt;"",$B418&lt;&gt;"",$C418&lt;&gt;"",$D418&lt;&gt;"",$E418&lt;&gt;"",$F418&lt;&gt;"",ISNUMBER($G418),$G418&gt;=1,ISNUMBER($H418),MOD($H418,1)=0,$H418&gt;=1,$H418&lt;=5,ISNUMBER($J418),MOD($J418,1)=0,$J418&gt;=1,$J418&lt;=5,ISNUMBER($L418),MOD($L418,1)=0,$L418&gt;=1,$L418&lt;=5,ISNUMBER($N418),$N418&gt;=0,$O418="",$P418&lt;&gt;"",$Q418&lt;&gt;"",$R418="runner_monotonic_complete"),"ScorableComplete",IF(AND($A418&lt;&gt;"",$B418&lt;&gt;"",$C418&lt;&gt;"",$D418&lt;&gt;"",$E418&lt;&gt;"",$F418&lt;&gt;"",ISNUMBER($G418),$G418&gt;=1,OR($O418="insufficient_source_evidence",$O418="operational_failure"),$H418="",$J418="",$L418="",$N418="",$Q418&lt;&gt;"",$R418="runner_monotonic_not_scorable"),"NotScorable","Partial")))</x:f>
        <x:v>Pending</x:v>
      </x:c>
    </x:row>
    <x:row r="419">
      <x:c r="A419" s="44"/>
      <x:c r="B419" s="44"/>
      <x:c r="C419" s="44"/>
      <x:c r="D419" s="44"/>
      <x:c r="E419" s="44"/>
      <x:c r="F419" s="44"/>
      <x:c r="G419" s="44"/>
      <x:c r="H419" s="44"/>
      <x:c r="I419" s="44"/>
      <x:c r="J419" s="44"/>
      <x:c r="K419" s="44"/>
      <x:c r="L419" s="44"/>
      <x:c r="M419" s="44"/>
      <x:c r="N419" s="50"/>
      <x:c r="O419" s="44"/>
      <x:c r="P419" s="53"/>
      <x:c r="Q419" s="53"/>
      <x:c r="R419" s="44"/>
      <x:c r="S419" s="47" t="str">
        <x:f>IF(COUNTA($H419:$R419)=0,"Pending",IF(AND($A419&lt;&gt;"",$B419&lt;&gt;"",$C419&lt;&gt;"",$D419&lt;&gt;"",$E419&lt;&gt;"",$F419&lt;&gt;"",ISNUMBER($G419),$G419&gt;=1,ISNUMBER($H419),MOD($H419,1)=0,$H419&gt;=1,$H419&lt;=5,ISNUMBER($J419),MOD($J419,1)=0,$J419&gt;=1,$J419&lt;=5,ISNUMBER($L419),MOD($L419,1)=0,$L419&gt;=1,$L419&lt;=5,ISNUMBER($N419),$N419&gt;=0,$O419="",$P419&lt;&gt;"",$Q419&lt;&gt;"",$R419="runner_monotonic_complete"),"ScorableComplete",IF(AND($A419&lt;&gt;"",$B419&lt;&gt;"",$C419&lt;&gt;"",$D419&lt;&gt;"",$E419&lt;&gt;"",$F419&lt;&gt;"",ISNUMBER($G419),$G419&gt;=1,OR($O419="insufficient_source_evidence",$O419="operational_failure"),$H419="",$J419="",$L419="",$N419="",$Q419&lt;&gt;"",$R419="runner_monotonic_not_scorable"),"NotScorable","Partial")))</x:f>
        <x:v>Pending</x:v>
      </x:c>
    </x:row>
    <x:row r="420">
      <x:c r="A420" s="44"/>
      <x:c r="B420" s="44"/>
      <x:c r="C420" s="44"/>
      <x:c r="D420" s="44"/>
      <x:c r="E420" s="44"/>
      <x:c r="F420" s="44"/>
      <x:c r="G420" s="44"/>
      <x:c r="H420" s="44"/>
      <x:c r="I420" s="44"/>
      <x:c r="J420" s="44"/>
      <x:c r="K420" s="44"/>
      <x:c r="L420" s="44"/>
      <x:c r="M420" s="44"/>
      <x:c r="N420" s="50"/>
      <x:c r="O420" s="44"/>
      <x:c r="P420" s="53"/>
      <x:c r="Q420" s="53"/>
      <x:c r="R420" s="44"/>
      <x:c r="S420" s="47" t="str">
        <x:f>IF(COUNTA($H420:$R420)=0,"Pending",IF(AND($A420&lt;&gt;"",$B420&lt;&gt;"",$C420&lt;&gt;"",$D420&lt;&gt;"",$E420&lt;&gt;"",$F420&lt;&gt;"",ISNUMBER($G420),$G420&gt;=1,ISNUMBER($H420),MOD($H420,1)=0,$H420&gt;=1,$H420&lt;=5,ISNUMBER($J420),MOD($J420,1)=0,$J420&gt;=1,$J420&lt;=5,ISNUMBER($L420),MOD($L420,1)=0,$L420&gt;=1,$L420&lt;=5,ISNUMBER($N420),$N420&gt;=0,$O420="",$P420&lt;&gt;"",$Q420&lt;&gt;"",$R420="runner_monotonic_complete"),"ScorableComplete",IF(AND($A420&lt;&gt;"",$B420&lt;&gt;"",$C420&lt;&gt;"",$D420&lt;&gt;"",$E420&lt;&gt;"",$F420&lt;&gt;"",ISNUMBER($G420),$G420&gt;=1,OR($O420="insufficient_source_evidence",$O420="operational_failure"),$H420="",$J420="",$L420="",$N420="",$Q420&lt;&gt;"",$R420="runner_monotonic_not_scorable"),"NotScorable","Partial")))</x:f>
        <x:v>Pending</x:v>
      </x:c>
    </x:row>
    <x:row r="421">
      <x:c r="A421" s="44"/>
      <x:c r="B421" s="44"/>
      <x:c r="C421" s="44"/>
      <x:c r="D421" s="44"/>
      <x:c r="E421" s="44"/>
      <x:c r="F421" s="44"/>
      <x:c r="G421" s="44"/>
      <x:c r="H421" s="44"/>
      <x:c r="I421" s="44"/>
      <x:c r="J421" s="44"/>
      <x:c r="K421" s="44"/>
      <x:c r="L421" s="44"/>
      <x:c r="M421" s="44"/>
      <x:c r="N421" s="50"/>
      <x:c r="O421" s="44"/>
      <x:c r="P421" s="53"/>
      <x:c r="Q421" s="53"/>
      <x:c r="R421" s="44"/>
      <x:c r="S421" s="47" t="str">
        <x:f>IF(COUNTA($H421:$R421)=0,"Pending",IF(AND($A421&lt;&gt;"",$B421&lt;&gt;"",$C421&lt;&gt;"",$D421&lt;&gt;"",$E421&lt;&gt;"",$F421&lt;&gt;"",ISNUMBER($G421),$G421&gt;=1,ISNUMBER($H421),MOD($H421,1)=0,$H421&gt;=1,$H421&lt;=5,ISNUMBER($J421),MOD($J421,1)=0,$J421&gt;=1,$J421&lt;=5,ISNUMBER($L421),MOD($L421,1)=0,$L421&gt;=1,$L421&lt;=5,ISNUMBER($N421),$N421&gt;=0,$O421="",$P421&lt;&gt;"",$Q421&lt;&gt;"",$R421="runner_monotonic_complete"),"ScorableComplete",IF(AND($A421&lt;&gt;"",$B421&lt;&gt;"",$C421&lt;&gt;"",$D421&lt;&gt;"",$E421&lt;&gt;"",$F421&lt;&gt;"",ISNUMBER($G421),$G421&gt;=1,OR($O421="insufficient_source_evidence",$O421="operational_failure"),$H421="",$J421="",$L421="",$N421="",$Q421&lt;&gt;"",$R421="runner_monotonic_not_scorable"),"NotScorable","Partial")))</x:f>
        <x:v>Pending</x:v>
      </x:c>
    </x:row>
    <x:row r="422">
      <x:c r="A422" s="44"/>
      <x:c r="B422" s="44"/>
      <x:c r="C422" s="44"/>
      <x:c r="D422" s="44"/>
      <x:c r="E422" s="44"/>
      <x:c r="F422" s="44"/>
      <x:c r="G422" s="44"/>
      <x:c r="H422" s="44"/>
      <x:c r="I422" s="44"/>
      <x:c r="J422" s="44"/>
      <x:c r="K422" s="44"/>
      <x:c r="L422" s="44"/>
      <x:c r="M422" s="44"/>
      <x:c r="N422" s="50"/>
      <x:c r="O422" s="44"/>
      <x:c r="P422" s="53"/>
      <x:c r="Q422" s="53"/>
      <x:c r="R422" s="44"/>
      <x:c r="S422" s="47" t="str">
        <x:f>IF(COUNTA($H422:$R422)=0,"Pending",IF(AND($A422&lt;&gt;"",$B422&lt;&gt;"",$C422&lt;&gt;"",$D422&lt;&gt;"",$E422&lt;&gt;"",$F422&lt;&gt;"",ISNUMBER($G422),$G422&gt;=1,ISNUMBER($H422),MOD($H422,1)=0,$H422&gt;=1,$H422&lt;=5,ISNUMBER($J422),MOD($J422,1)=0,$J422&gt;=1,$J422&lt;=5,ISNUMBER($L422),MOD($L422,1)=0,$L422&gt;=1,$L422&lt;=5,ISNUMBER($N422),$N422&gt;=0,$O422="",$P422&lt;&gt;"",$Q422&lt;&gt;"",$R422="runner_monotonic_complete"),"ScorableComplete",IF(AND($A422&lt;&gt;"",$B422&lt;&gt;"",$C422&lt;&gt;"",$D422&lt;&gt;"",$E422&lt;&gt;"",$F422&lt;&gt;"",ISNUMBER($G422),$G422&gt;=1,OR($O422="insufficient_source_evidence",$O422="operational_failure"),$H422="",$J422="",$L422="",$N422="",$Q422&lt;&gt;"",$R422="runner_monotonic_not_scorable"),"NotScorable","Partial")))</x:f>
        <x:v>Pending</x:v>
      </x:c>
    </x:row>
    <x:row r="423">
      <x:c r="A423" s="44"/>
      <x:c r="B423" s="44"/>
      <x:c r="C423" s="44"/>
      <x:c r="D423" s="44"/>
      <x:c r="E423" s="44"/>
      <x:c r="F423" s="44"/>
      <x:c r="G423" s="44"/>
      <x:c r="H423" s="44"/>
      <x:c r="I423" s="44"/>
      <x:c r="J423" s="44"/>
      <x:c r="K423" s="44"/>
      <x:c r="L423" s="44"/>
      <x:c r="M423" s="44"/>
      <x:c r="N423" s="50"/>
      <x:c r="O423" s="44"/>
      <x:c r="P423" s="53"/>
      <x:c r="Q423" s="53"/>
      <x:c r="R423" s="44"/>
      <x:c r="S423" s="47" t="str">
        <x:f>IF(COUNTA($H423:$R423)=0,"Pending",IF(AND($A423&lt;&gt;"",$B423&lt;&gt;"",$C423&lt;&gt;"",$D423&lt;&gt;"",$E423&lt;&gt;"",$F423&lt;&gt;"",ISNUMBER($G423),$G423&gt;=1,ISNUMBER($H423),MOD($H423,1)=0,$H423&gt;=1,$H423&lt;=5,ISNUMBER($J423),MOD($J423,1)=0,$J423&gt;=1,$J423&lt;=5,ISNUMBER($L423),MOD($L423,1)=0,$L423&gt;=1,$L423&lt;=5,ISNUMBER($N423),$N423&gt;=0,$O423="",$P423&lt;&gt;"",$Q423&lt;&gt;"",$R423="runner_monotonic_complete"),"ScorableComplete",IF(AND($A423&lt;&gt;"",$B423&lt;&gt;"",$C423&lt;&gt;"",$D423&lt;&gt;"",$E423&lt;&gt;"",$F423&lt;&gt;"",ISNUMBER($G423),$G423&gt;=1,OR($O423="insufficient_source_evidence",$O423="operational_failure"),$H423="",$J423="",$L423="",$N423="",$Q423&lt;&gt;"",$R423="runner_monotonic_not_scorable"),"NotScorable","Partial")))</x:f>
        <x:v>Pending</x:v>
      </x:c>
    </x:row>
    <x:row r="424">
      <x:c r="A424" s="44"/>
      <x:c r="B424" s="44"/>
      <x:c r="C424" s="44"/>
      <x:c r="D424" s="44"/>
      <x:c r="E424" s="44"/>
      <x:c r="F424" s="44"/>
      <x:c r="G424" s="44"/>
      <x:c r="H424" s="44"/>
      <x:c r="I424" s="44"/>
      <x:c r="J424" s="44"/>
      <x:c r="K424" s="44"/>
      <x:c r="L424" s="44"/>
      <x:c r="M424" s="44"/>
      <x:c r="N424" s="50"/>
      <x:c r="O424" s="44"/>
      <x:c r="P424" s="53"/>
      <x:c r="Q424" s="53"/>
      <x:c r="R424" s="44"/>
      <x:c r="S424" s="47" t="str">
        <x:f>IF(COUNTA($H424:$R424)=0,"Pending",IF(AND($A424&lt;&gt;"",$B424&lt;&gt;"",$C424&lt;&gt;"",$D424&lt;&gt;"",$E424&lt;&gt;"",$F424&lt;&gt;"",ISNUMBER($G424),$G424&gt;=1,ISNUMBER($H424),MOD($H424,1)=0,$H424&gt;=1,$H424&lt;=5,ISNUMBER($J424),MOD($J424,1)=0,$J424&gt;=1,$J424&lt;=5,ISNUMBER($L424),MOD($L424,1)=0,$L424&gt;=1,$L424&lt;=5,ISNUMBER($N424),$N424&gt;=0,$O424="",$P424&lt;&gt;"",$Q424&lt;&gt;"",$R424="runner_monotonic_complete"),"ScorableComplete",IF(AND($A424&lt;&gt;"",$B424&lt;&gt;"",$C424&lt;&gt;"",$D424&lt;&gt;"",$E424&lt;&gt;"",$F424&lt;&gt;"",ISNUMBER($G424),$G424&gt;=1,OR($O424="insufficient_source_evidence",$O424="operational_failure"),$H424="",$J424="",$L424="",$N424="",$Q424&lt;&gt;"",$R424="runner_monotonic_not_scorable"),"NotScorable","Partial")))</x:f>
        <x:v>Pending</x:v>
      </x:c>
    </x:row>
    <x:row r="425">
      <x:c r="A425" s="44"/>
      <x:c r="B425" s="44"/>
      <x:c r="C425" s="44"/>
      <x:c r="D425" s="44"/>
      <x:c r="E425" s="44"/>
      <x:c r="F425" s="44"/>
      <x:c r="G425" s="44"/>
      <x:c r="H425" s="44"/>
      <x:c r="I425" s="44"/>
      <x:c r="J425" s="44"/>
      <x:c r="K425" s="44"/>
      <x:c r="L425" s="44"/>
      <x:c r="M425" s="44"/>
      <x:c r="N425" s="50"/>
      <x:c r="O425" s="44"/>
      <x:c r="P425" s="53"/>
      <x:c r="Q425" s="53"/>
      <x:c r="R425" s="44"/>
      <x:c r="S425" s="47" t="str">
        <x:f>IF(COUNTA($H425:$R425)=0,"Pending",IF(AND($A425&lt;&gt;"",$B425&lt;&gt;"",$C425&lt;&gt;"",$D425&lt;&gt;"",$E425&lt;&gt;"",$F425&lt;&gt;"",ISNUMBER($G425),$G425&gt;=1,ISNUMBER($H425),MOD($H425,1)=0,$H425&gt;=1,$H425&lt;=5,ISNUMBER($J425),MOD($J425,1)=0,$J425&gt;=1,$J425&lt;=5,ISNUMBER($L425),MOD($L425,1)=0,$L425&gt;=1,$L425&lt;=5,ISNUMBER($N425),$N425&gt;=0,$O425="",$P425&lt;&gt;"",$Q425&lt;&gt;"",$R425="runner_monotonic_complete"),"ScorableComplete",IF(AND($A425&lt;&gt;"",$B425&lt;&gt;"",$C425&lt;&gt;"",$D425&lt;&gt;"",$E425&lt;&gt;"",$F425&lt;&gt;"",ISNUMBER($G425),$G425&gt;=1,OR($O425="insufficient_source_evidence",$O425="operational_failure"),$H425="",$J425="",$L425="",$N425="",$Q425&lt;&gt;"",$R425="runner_monotonic_not_scorable"),"NotScorable","Partial")))</x:f>
        <x:v>Pending</x:v>
      </x:c>
    </x:row>
    <x:row r="426">
      <x:c r="A426" s="44"/>
      <x:c r="B426" s="44"/>
      <x:c r="C426" s="44"/>
      <x:c r="D426" s="44"/>
      <x:c r="E426" s="44"/>
      <x:c r="F426" s="44"/>
      <x:c r="G426" s="44"/>
      <x:c r="H426" s="44"/>
      <x:c r="I426" s="44"/>
      <x:c r="J426" s="44"/>
      <x:c r="K426" s="44"/>
      <x:c r="L426" s="44"/>
      <x:c r="M426" s="44"/>
      <x:c r="N426" s="50"/>
      <x:c r="O426" s="44"/>
      <x:c r="P426" s="53"/>
      <x:c r="Q426" s="53"/>
      <x:c r="R426" s="44"/>
      <x:c r="S426" s="47" t="str">
        <x:f>IF(COUNTA($H426:$R426)=0,"Pending",IF(AND($A426&lt;&gt;"",$B426&lt;&gt;"",$C426&lt;&gt;"",$D426&lt;&gt;"",$E426&lt;&gt;"",$F426&lt;&gt;"",ISNUMBER($G426),$G426&gt;=1,ISNUMBER($H426),MOD($H426,1)=0,$H426&gt;=1,$H426&lt;=5,ISNUMBER($J426),MOD($J426,1)=0,$J426&gt;=1,$J426&lt;=5,ISNUMBER($L426),MOD($L426,1)=0,$L426&gt;=1,$L426&lt;=5,ISNUMBER($N426),$N426&gt;=0,$O426="",$P426&lt;&gt;"",$Q426&lt;&gt;"",$R426="runner_monotonic_complete"),"ScorableComplete",IF(AND($A426&lt;&gt;"",$B426&lt;&gt;"",$C426&lt;&gt;"",$D426&lt;&gt;"",$E426&lt;&gt;"",$F426&lt;&gt;"",ISNUMBER($G426),$G426&gt;=1,OR($O426="insufficient_source_evidence",$O426="operational_failure"),$H426="",$J426="",$L426="",$N426="",$Q426&lt;&gt;"",$R426="runner_monotonic_not_scorable"),"NotScorable","Partial")))</x:f>
        <x:v>Pending</x:v>
      </x:c>
    </x:row>
    <x:row r="427">
      <x:c r="A427" s="44"/>
      <x:c r="B427" s="44"/>
      <x:c r="C427" s="44"/>
      <x:c r="D427" s="44"/>
      <x:c r="E427" s="44"/>
      <x:c r="F427" s="44"/>
      <x:c r="G427" s="44"/>
      <x:c r="H427" s="44"/>
      <x:c r="I427" s="44"/>
      <x:c r="J427" s="44"/>
      <x:c r="K427" s="44"/>
      <x:c r="L427" s="44"/>
      <x:c r="M427" s="44"/>
      <x:c r="N427" s="50"/>
      <x:c r="O427" s="44"/>
      <x:c r="P427" s="53"/>
      <x:c r="Q427" s="53"/>
      <x:c r="R427" s="44"/>
      <x:c r="S427" s="47" t="str">
        <x:f>IF(COUNTA($H427:$R427)=0,"Pending",IF(AND($A427&lt;&gt;"",$B427&lt;&gt;"",$C427&lt;&gt;"",$D427&lt;&gt;"",$E427&lt;&gt;"",$F427&lt;&gt;"",ISNUMBER($G427),$G427&gt;=1,ISNUMBER($H427),MOD($H427,1)=0,$H427&gt;=1,$H427&lt;=5,ISNUMBER($J427),MOD($J427,1)=0,$J427&gt;=1,$J427&lt;=5,ISNUMBER($L427),MOD($L427,1)=0,$L427&gt;=1,$L427&lt;=5,ISNUMBER($N427),$N427&gt;=0,$O427="",$P427&lt;&gt;"",$Q427&lt;&gt;"",$R427="runner_monotonic_complete"),"ScorableComplete",IF(AND($A427&lt;&gt;"",$B427&lt;&gt;"",$C427&lt;&gt;"",$D427&lt;&gt;"",$E427&lt;&gt;"",$F427&lt;&gt;"",ISNUMBER($G427),$G427&gt;=1,OR($O427="insufficient_source_evidence",$O427="operational_failure"),$H427="",$J427="",$L427="",$N427="",$Q427&lt;&gt;"",$R427="runner_monotonic_not_scorable"),"NotScorable","Partial")))</x:f>
        <x:v>Pending</x:v>
      </x:c>
    </x:row>
    <x:row r="428">
      <x:c r="A428" s="44"/>
      <x:c r="B428" s="44"/>
      <x:c r="C428" s="44"/>
      <x:c r="D428" s="44"/>
      <x:c r="E428" s="44"/>
      <x:c r="F428" s="44"/>
      <x:c r="G428" s="44"/>
      <x:c r="H428" s="44"/>
      <x:c r="I428" s="44"/>
      <x:c r="J428" s="44"/>
      <x:c r="K428" s="44"/>
      <x:c r="L428" s="44"/>
      <x:c r="M428" s="44"/>
      <x:c r="N428" s="50"/>
      <x:c r="O428" s="44"/>
      <x:c r="P428" s="53"/>
      <x:c r="Q428" s="53"/>
      <x:c r="R428" s="44"/>
      <x:c r="S428" s="47" t="str">
        <x:f>IF(COUNTA($H428:$R428)=0,"Pending",IF(AND($A428&lt;&gt;"",$B428&lt;&gt;"",$C428&lt;&gt;"",$D428&lt;&gt;"",$E428&lt;&gt;"",$F428&lt;&gt;"",ISNUMBER($G428),$G428&gt;=1,ISNUMBER($H428),MOD($H428,1)=0,$H428&gt;=1,$H428&lt;=5,ISNUMBER($J428),MOD($J428,1)=0,$J428&gt;=1,$J428&lt;=5,ISNUMBER($L428),MOD($L428,1)=0,$L428&gt;=1,$L428&lt;=5,ISNUMBER($N428),$N428&gt;=0,$O428="",$P428&lt;&gt;"",$Q428&lt;&gt;"",$R428="runner_monotonic_complete"),"ScorableComplete",IF(AND($A428&lt;&gt;"",$B428&lt;&gt;"",$C428&lt;&gt;"",$D428&lt;&gt;"",$E428&lt;&gt;"",$F428&lt;&gt;"",ISNUMBER($G428),$G428&gt;=1,OR($O428="insufficient_source_evidence",$O428="operational_failure"),$H428="",$J428="",$L428="",$N428="",$Q428&lt;&gt;"",$R428="runner_monotonic_not_scorable"),"NotScorable","Partial")))</x:f>
        <x:v>Pending</x:v>
      </x:c>
    </x:row>
    <x:row r="429">
      <x:c r="A429" s="44"/>
      <x:c r="B429" s="44"/>
      <x:c r="C429" s="44"/>
      <x:c r="D429" s="44"/>
      <x:c r="E429" s="44"/>
      <x:c r="F429" s="44"/>
      <x:c r="G429" s="44"/>
      <x:c r="H429" s="44"/>
      <x:c r="I429" s="44"/>
      <x:c r="J429" s="44"/>
      <x:c r="K429" s="44"/>
      <x:c r="L429" s="44"/>
      <x:c r="M429" s="44"/>
      <x:c r="N429" s="50"/>
      <x:c r="O429" s="44"/>
      <x:c r="P429" s="53"/>
      <x:c r="Q429" s="53"/>
      <x:c r="R429" s="44"/>
      <x:c r="S429" s="47" t="str">
        <x:f>IF(COUNTA($H429:$R429)=0,"Pending",IF(AND($A429&lt;&gt;"",$B429&lt;&gt;"",$C429&lt;&gt;"",$D429&lt;&gt;"",$E429&lt;&gt;"",$F429&lt;&gt;"",ISNUMBER($G429),$G429&gt;=1,ISNUMBER($H429),MOD($H429,1)=0,$H429&gt;=1,$H429&lt;=5,ISNUMBER($J429),MOD($J429,1)=0,$J429&gt;=1,$J429&lt;=5,ISNUMBER($L429),MOD($L429,1)=0,$L429&gt;=1,$L429&lt;=5,ISNUMBER($N429),$N429&gt;=0,$O429="",$P429&lt;&gt;"",$Q429&lt;&gt;"",$R429="runner_monotonic_complete"),"ScorableComplete",IF(AND($A429&lt;&gt;"",$B429&lt;&gt;"",$C429&lt;&gt;"",$D429&lt;&gt;"",$E429&lt;&gt;"",$F429&lt;&gt;"",ISNUMBER($G429),$G429&gt;=1,OR($O429="insufficient_source_evidence",$O429="operational_failure"),$H429="",$J429="",$L429="",$N429="",$Q429&lt;&gt;"",$R429="runner_monotonic_not_scorable"),"NotScorable","Partial")))</x:f>
        <x:v>Pending</x:v>
      </x:c>
    </x:row>
    <x:row r="430">
      <x:c r="A430" s="44"/>
      <x:c r="B430" s="44"/>
      <x:c r="C430" s="44"/>
      <x:c r="D430" s="44"/>
      <x:c r="E430" s="44"/>
      <x:c r="F430" s="44"/>
      <x:c r="G430" s="44"/>
      <x:c r="H430" s="44"/>
      <x:c r="I430" s="44"/>
      <x:c r="J430" s="44"/>
      <x:c r="K430" s="44"/>
      <x:c r="L430" s="44"/>
      <x:c r="M430" s="44"/>
      <x:c r="N430" s="50"/>
      <x:c r="O430" s="44"/>
      <x:c r="P430" s="53"/>
      <x:c r="Q430" s="53"/>
      <x:c r="R430" s="44"/>
      <x:c r="S430" s="47" t="str">
        <x:f>IF(COUNTA($H430:$R430)=0,"Pending",IF(AND($A430&lt;&gt;"",$B430&lt;&gt;"",$C430&lt;&gt;"",$D430&lt;&gt;"",$E430&lt;&gt;"",$F430&lt;&gt;"",ISNUMBER($G430),$G430&gt;=1,ISNUMBER($H430),MOD($H430,1)=0,$H430&gt;=1,$H430&lt;=5,ISNUMBER($J430),MOD($J430,1)=0,$J430&gt;=1,$J430&lt;=5,ISNUMBER($L430),MOD($L430,1)=0,$L430&gt;=1,$L430&lt;=5,ISNUMBER($N430),$N430&gt;=0,$O430="",$P430&lt;&gt;"",$Q430&lt;&gt;"",$R430="runner_monotonic_complete"),"ScorableComplete",IF(AND($A430&lt;&gt;"",$B430&lt;&gt;"",$C430&lt;&gt;"",$D430&lt;&gt;"",$E430&lt;&gt;"",$F430&lt;&gt;"",ISNUMBER($G430),$G430&gt;=1,OR($O430="insufficient_source_evidence",$O430="operational_failure"),$H430="",$J430="",$L430="",$N430="",$Q430&lt;&gt;"",$R430="runner_monotonic_not_scorable"),"NotScorable","Partial")))</x:f>
        <x:v>Pending</x:v>
      </x:c>
    </x:row>
    <x:row r="431">
      <x:c r="A431" s="44"/>
      <x:c r="B431" s="44"/>
      <x:c r="C431" s="44"/>
      <x:c r="D431" s="44"/>
      <x:c r="E431" s="44"/>
      <x:c r="F431" s="44"/>
      <x:c r="G431" s="44"/>
      <x:c r="H431" s="44"/>
      <x:c r="I431" s="44"/>
      <x:c r="J431" s="44"/>
      <x:c r="K431" s="44"/>
      <x:c r="L431" s="44"/>
      <x:c r="M431" s="44"/>
      <x:c r="N431" s="50"/>
      <x:c r="O431" s="44"/>
      <x:c r="P431" s="53"/>
      <x:c r="Q431" s="53"/>
      <x:c r="R431" s="44"/>
      <x:c r="S431" s="47" t="str">
        <x:f>IF(COUNTA($H431:$R431)=0,"Pending",IF(AND($A431&lt;&gt;"",$B431&lt;&gt;"",$C431&lt;&gt;"",$D431&lt;&gt;"",$E431&lt;&gt;"",$F431&lt;&gt;"",ISNUMBER($G431),$G431&gt;=1,ISNUMBER($H431),MOD($H431,1)=0,$H431&gt;=1,$H431&lt;=5,ISNUMBER($J431),MOD($J431,1)=0,$J431&gt;=1,$J431&lt;=5,ISNUMBER($L431),MOD($L431,1)=0,$L431&gt;=1,$L431&lt;=5,ISNUMBER($N431),$N431&gt;=0,$O431="",$P431&lt;&gt;"",$Q431&lt;&gt;"",$R431="runner_monotonic_complete"),"ScorableComplete",IF(AND($A431&lt;&gt;"",$B431&lt;&gt;"",$C431&lt;&gt;"",$D431&lt;&gt;"",$E431&lt;&gt;"",$F431&lt;&gt;"",ISNUMBER($G431),$G431&gt;=1,OR($O431="insufficient_source_evidence",$O431="operational_failure"),$H431="",$J431="",$L431="",$N431="",$Q431&lt;&gt;"",$R431="runner_monotonic_not_scorable"),"NotScorable","Partial")))</x:f>
        <x:v>Pending</x:v>
      </x:c>
    </x:row>
    <x:row r="432">
      <x:c r="A432" s="44"/>
      <x:c r="B432" s="44"/>
      <x:c r="C432" s="44"/>
      <x:c r="D432" s="44"/>
      <x:c r="E432" s="44"/>
      <x:c r="F432" s="44"/>
      <x:c r="G432" s="44"/>
      <x:c r="H432" s="44"/>
      <x:c r="I432" s="44"/>
      <x:c r="J432" s="44"/>
      <x:c r="K432" s="44"/>
      <x:c r="L432" s="44"/>
      <x:c r="M432" s="44"/>
      <x:c r="N432" s="50"/>
      <x:c r="O432" s="44"/>
      <x:c r="P432" s="53"/>
      <x:c r="Q432" s="53"/>
      <x:c r="R432" s="44"/>
      <x:c r="S432" s="47" t="str">
        <x:f>IF(COUNTA($H432:$R432)=0,"Pending",IF(AND($A432&lt;&gt;"",$B432&lt;&gt;"",$C432&lt;&gt;"",$D432&lt;&gt;"",$E432&lt;&gt;"",$F432&lt;&gt;"",ISNUMBER($G432),$G432&gt;=1,ISNUMBER($H432),MOD($H432,1)=0,$H432&gt;=1,$H432&lt;=5,ISNUMBER($J432),MOD($J432,1)=0,$J432&gt;=1,$J432&lt;=5,ISNUMBER($L432),MOD($L432,1)=0,$L432&gt;=1,$L432&lt;=5,ISNUMBER($N432),$N432&gt;=0,$O432="",$P432&lt;&gt;"",$Q432&lt;&gt;"",$R432="runner_monotonic_complete"),"ScorableComplete",IF(AND($A432&lt;&gt;"",$B432&lt;&gt;"",$C432&lt;&gt;"",$D432&lt;&gt;"",$E432&lt;&gt;"",$F432&lt;&gt;"",ISNUMBER($G432),$G432&gt;=1,OR($O432="insufficient_source_evidence",$O432="operational_failure"),$H432="",$J432="",$L432="",$N432="",$Q432&lt;&gt;"",$R432="runner_monotonic_not_scorable"),"NotScorable","Partial")))</x:f>
        <x:v>Pending</x:v>
      </x:c>
    </x:row>
    <x:row r="433">
      <x:c r="A433" s="44"/>
      <x:c r="B433" s="44"/>
      <x:c r="C433" s="44"/>
      <x:c r="D433" s="44"/>
      <x:c r="E433" s="44"/>
      <x:c r="F433" s="44"/>
      <x:c r="G433" s="44"/>
      <x:c r="H433" s="44"/>
      <x:c r="I433" s="44"/>
      <x:c r="J433" s="44"/>
      <x:c r="K433" s="44"/>
      <x:c r="L433" s="44"/>
      <x:c r="M433" s="44"/>
      <x:c r="N433" s="50"/>
      <x:c r="O433" s="44"/>
      <x:c r="P433" s="53"/>
      <x:c r="Q433" s="53"/>
      <x:c r="R433" s="44"/>
      <x:c r="S433" s="47" t="str">
        <x:f>IF(COUNTA($H433:$R433)=0,"Pending",IF(AND($A433&lt;&gt;"",$B433&lt;&gt;"",$C433&lt;&gt;"",$D433&lt;&gt;"",$E433&lt;&gt;"",$F433&lt;&gt;"",ISNUMBER($G433),$G433&gt;=1,ISNUMBER($H433),MOD($H433,1)=0,$H433&gt;=1,$H433&lt;=5,ISNUMBER($J433),MOD($J433,1)=0,$J433&gt;=1,$J433&lt;=5,ISNUMBER($L433),MOD($L433,1)=0,$L433&gt;=1,$L433&lt;=5,ISNUMBER($N433),$N433&gt;=0,$O433="",$P433&lt;&gt;"",$Q433&lt;&gt;"",$R433="runner_monotonic_complete"),"ScorableComplete",IF(AND($A433&lt;&gt;"",$B433&lt;&gt;"",$C433&lt;&gt;"",$D433&lt;&gt;"",$E433&lt;&gt;"",$F433&lt;&gt;"",ISNUMBER($G433),$G433&gt;=1,OR($O433="insufficient_source_evidence",$O433="operational_failure"),$H433="",$J433="",$L433="",$N433="",$Q433&lt;&gt;"",$R433="runner_monotonic_not_scorable"),"NotScorable","Partial")))</x:f>
        <x:v>Pending</x:v>
      </x:c>
    </x:row>
    <x:row r="434">
      <x:c r="A434" s="44"/>
      <x:c r="B434" s="44"/>
      <x:c r="C434" s="44"/>
      <x:c r="D434" s="44"/>
      <x:c r="E434" s="44"/>
      <x:c r="F434" s="44"/>
      <x:c r="G434" s="44"/>
      <x:c r="H434" s="44"/>
      <x:c r="I434" s="44"/>
      <x:c r="J434" s="44"/>
      <x:c r="K434" s="44"/>
      <x:c r="L434" s="44"/>
      <x:c r="M434" s="44"/>
      <x:c r="N434" s="50"/>
      <x:c r="O434" s="44"/>
      <x:c r="P434" s="53"/>
      <x:c r="Q434" s="53"/>
      <x:c r="R434" s="44"/>
      <x:c r="S434" s="47" t="str">
        <x:f>IF(COUNTA($H434:$R434)=0,"Pending",IF(AND($A434&lt;&gt;"",$B434&lt;&gt;"",$C434&lt;&gt;"",$D434&lt;&gt;"",$E434&lt;&gt;"",$F434&lt;&gt;"",ISNUMBER($G434),$G434&gt;=1,ISNUMBER($H434),MOD($H434,1)=0,$H434&gt;=1,$H434&lt;=5,ISNUMBER($J434),MOD($J434,1)=0,$J434&gt;=1,$J434&lt;=5,ISNUMBER($L434),MOD($L434,1)=0,$L434&gt;=1,$L434&lt;=5,ISNUMBER($N434),$N434&gt;=0,$O434="",$P434&lt;&gt;"",$Q434&lt;&gt;"",$R434="runner_monotonic_complete"),"ScorableComplete",IF(AND($A434&lt;&gt;"",$B434&lt;&gt;"",$C434&lt;&gt;"",$D434&lt;&gt;"",$E434&lt;&gt;"",$F434&lt;&gt;"",ISNUMBER($G434),$G434&gt;=1,OR($O434="insufficient_source_evidence",$O434="operational_failure"),$H434="",$J434="",$L434="",$N434="",$Q434&lt;&gt;"",$R434="runner_monotonic_not_scorable"),"NotScorable","Partial")))</x:f>
        <x:v>Pending</x:v>
      </x:c>
    </x:row>
    <x:row r="435">
      <x:c r="A435" s="44"/>
      <x:c r="B435" s="44"/>
      <x:c r="C435" s="44"/>
      <x:c r="D435" s="44"/>
      <x:c r="E435" s="44"/>
      <x:c r="F435" s="44"/>
      <x:c r="G435" s="44"/>
      <x:c r="H435" s="44"/>
      <x:c r="I435" s="44"/>
      <x:c r="J435" s="44"/>
      <x:c r="K435" s="44"/>
      <x:c r="L435" s="44"/>
      <x:c r="M435" s="44"/>
      <x:c r="N435" s="50"/>
      <x:c r="O435" s="44"/>
      <x:c r="P435" s="53"/>
      <x:c r="Q435" s="53"/>
      <x:c r="R435" s="44"/>
      <x:c r="S435" s="47" t="str">
        <x:f>IF(COUNTA($H435:$R435)=0,"Pending",IF(AND($A435&lt;&gt;"",$B435&lt;&gt;"",$C435&lt;&gt;"",$D435&lt;&gt;"",$E435&lt;&gt;"",$F435&lt;&gt;"",ISNUMBER($G435),$G435&gt;=1,ISNUMBER($H435),MOD($H435,1)=0,$H435&gt;=1,$H435&lt;=5,ISNUMBER($J435),MOD($J435,1)=0,$J435&gt;=1,$J435&lt;=5,ISNUMBER($L435),MOD($L435,1)=0,$L435&gt;=1,$L435&lt;=5,ISNUMBER($N435),$N435&gt;=0,$O435="",$P435&lt;&gt;"",$Q435&lt;&gt;"",$R435="runner_monotonic_complete"),"ScorableComplete",IF(AND($A435&lt;&gt;"",$B435&lt;&gt;"",$C435&lt;&gt;"",$D435&lt;&gt;"",$E435&lt;&gt;"",$F435&lt;&gt;"",ISNUMBER($G435),$G435&gt;=1,OR($O435="insufficient_source_evidence",$O435="operational_failure"),$H435="",$J435="",$L435="",$N435="",$Q435&lt;&gt;"",$R435="runner_monotonic_not_scorable"),"NotScorable","Partial")))</x:f>
        <x:v>Pending</x:v>
      </x:c>
    </x:row>
    <x:row r="436">
      <x:c r="A436" s="44"/>
      <x:c r="B436" s="44"/>
      <x:c r="C436" s="44"/>
      <x:c r="D436" s="44"/>
      <x:c r="E436" s="44"/>
      <x:c r="F436" s="44"/>
      <x:c r="G436" s="44"/>
      <x:c r="H436" s="44"/>
      <x:c r="I436" s="44"/>
      <x:c r="J436" s="44"/>
      <x:c r="K436" s="44"/>
      <x:c r="L436" s="44"/>
      <x:c r="M436" s="44"/>
      <x:c r="N436" s="50"/>
      <x:c r="O436" s="44"/>
      <x:c r="P436" s="53"/>
      <x:c r="Q436" s="53"/>
      <x:c r="R436" s="44"/>
      <x:c r="S436" s="47" t="str">
        <x:f>IF(COUNTA($H436:$R436)=0,"Pending",IF(AND($A436&lt;&gt;"",$B436&lt;&gt;"",$C436&lt;&gt;"",$D436&lt;&gt;"",$E436&lt;&gt;"",$F436&lt;&gt;"",ISNUMBER($G436),$G436&gt;=1,ISNUMBER($H436),MOD($H436,1)=0,$H436&gt;=1,$H436&lt;=5,ISNUMBER($J436),MOD($J436,1)=0,$J436&gt;=1,$J436&lt;=5,ISNUMBER($L436),MOD($L436,1)=0,$L436&gt;=1,$L436&lt;=5,ISNUMBER($N436),$N436&gt;=0,$O436="",$P436&lt;&gt;"",$Q436&lt;&gt;"",$R436="runner_monotonic_complete"),"ScorableComplete",IF(AND($A436&lt;&gt;"",$B436&lt;&gt;"",$C436&lt;&gt;"",$D436&lt;&gt;"",$E436&lt;&gt;"",$F436&lt;&gt;"",ISNUMBER($G436),$G436&gt;=1,OR($O436="insufficient_source_evidence",$O436="operational_failure"),$H436="",$J436="",$L436="",$N436="",$Q436&lt;&gt;"",$R436="runner_monotonic_not_scorable"),"NotScorable","Partial")))</x:f>
        <x:v>Pending</x:v>
      </x:c>
    </x:row>
    <x:row r="437">
      <x:c r="A437" s="44"/>
      <x:c r="B437" s="44"/>
      <x:c r="C437" s="44"/>
      <x:c r="D437" s="44"/>
      <x:c r="E437" s="44"/>
      <x:c r="F437" s="44"/>
      <x:c r="G437" s="44"/>
      <x:c r="H437" s="44"/>
      <x:c r="I437" s="44"/>
      <x:c r="J437" s="44"/>
      <x:c r="K437" s="44"/>
      <x:c r="L437" s="44"/>
      <x:c r="M437" s="44"/>
      <x:c r="N437" s="50"/>
      <x:c r="O437" s="44"/>
      <x:c r="P437" s="53"/>
      <x:c r="Q437" s="53"/>
      <x:c r="R437" s="44"/>
      <x:c r="S437" s="47" t="str">
        <x:f>IF(COUNTA($H437:$R437)=0,"Pending",IF(AND($A437&lt;&gt;"",$B437&lt;&gt;"",$C437&lt;&gt;"",$D437&lt;&gt;"",$E437&lt;&gt;"",$F437&lt;&gt;"",ISNUMBER($G437),$G437&gt;=1,ISNUMBER($H437),MOD($H437,1)=0,$H437&gt;=1,$H437&lt;=5,ISNUMBER($J437),MOD($J437,1)=0,$J437&gt;=1,$J437&lt;=5,ISNUMBER($L437),MOD($L437,1)=0,$L437&gt;=1,$L437&lt;=5,ISNUMBER($N437),$N437&gt;=0,$O437="",$P437&lt;&gt;"",$Q437&lt;&gt;"",$R437="runner_monotonic_complete"),"ScorableComplete",IF(AND($A437&lt;&gt;"",$B437&lt;&gt;"",$C437&lt;&gt;"",$D437&lt;&gt;"",$E437&lt;&gt;"",$F437&lt;&gt;"",ISNUMBER($G437),$G437&gt;=1,OR($O437="insufficient_source_evidence",$O437="operational_failure"),$H437="",$J437="",$L437="",$N437="",$Q437&lt;&gt;"",$R437="runner_monotonic_not_scorable"),"NotScorable","Partial")))</x:f>
        <x:v>Pending</x:v>
      </x:c>
    </x:row>
    <x:row r="438">
      <x:c r="A438" s="44"/>
      <x:c r="B438" s="44"/>
      <x:c r="C438" s="44"/>
      <x:c r="D438" s="44"/>
      <x:c r="E438" s="44"/>
      <x:c r="F438" s="44"/>
      <x:c r="G438" s="44"/>
      <x:c r="H438" s="44"/>
      <x:c r="I438" s="44"/>
      <x:c r="J438" s="44"/>
      <x:c r="K438" s="44"/>
      <x:c r="L438" s="44"/>
      <x:c r="M438" s="44"/>
      <x:c r="N438" s="50"/>
      <x:c r="O438" s="44"/>
      <x:c r="P438" s="53"/>
      <x:c r="Q438" s="53"/>
      <x:c r="R438" s="44"/>
      <x:c r="S438" s="47" t="str">
        <x:f>IF(COUNTA($H438:$R438)=0,"Pending",IF(AND($A438&lt;&gt;"",$B438&lt;&gt;"",$C438&lt;&gt;"",$D438&lt;&gt;"",$E438&lt;&gt;"",$F438&lt;&gt;"",ISNUMBER($G438),$G438&gt;=1,ISNUMBER($H438),MOD($H438,1)=0,$H438&gt;=1,$H438&lt;=5,ISNUMBER($J438),MOD($J438,1)=0,$J438&gt;=1,$J438&lt;=5,ISNUMBER($L438),MOD($L438,1)=0,$L438&gt;=1,$L438&lt;=5,ISNUMBER($N438),$N438&gt;=0,$O438="",$P438&lt;&gt;"",$Q438&lt;&gt;"",$R438="runner_monotonic_complete"),"ScorableComplete",IF(AND($A438&lt;&gt;"",$B438&lt;&gt;"",$C438&lt;&gt;"",$D438&lt;&gt;"",$E438&lt;&gt;"",$F438&lt;&gt;"",ISNUMBER($G438),$G438&gt;=1,OR($O438="insufficient_source_evidence",$O438="operational_failure"),$H438="",$J438="",$L438="",$N438="",$Q438&lt;&gt;"",$R438="runner_monotonic_not_scorable"),"NotScorable","Partial")))</x:f>
        <x:v>Pending</x:v>
      </x:c>
    </x:row>
    <x:row r="439">
      <x:c r="A439" s="44"/>
      <x:c r="B439" s="44"/>
      <x:c r="C439" s="44"/>
      <x:c r="D439" s="44"/>
      <x:c r="E439" s="44"/>
      <x:c r="F439" s="44"/>
      <x:c r="G439" s="44"/>
      <x:c r="H439" s="44"/>
      <x:c r="I439" s="44"/>
      <x:c r="J439" s="44"/>
      <x:c r="K439" s="44"/>
      <x:c r="L439" s="44"/>
      <x:c r="M439" s="44"/>
      <x:c r="N439" s="50"/>
      <x:c r="O439" s="44"/>
      <x:c r="P439" s="53"/>
      <x:c r="Q439" s="53"/>
      <x:c r="R439" s="44"/>
      <x:c r="S439" s="47" t="str">
        <x:f>IF(COUNTA($H439:$R439)=0,"Pending",IF(AND($A439&lt;&gt;"",$B439&lt;&gt;"",$C439&lt;&gt;"",$D439&lt;&gt;"",$E439&lt;&gt;"",$F439&lt;&gt;"",ISNUMBER($G439),$G439&gt;=1,ISNUMBER($H439),MOD($H439,1)=0,$H439&gt;=1,$H439&lt;=5,ISNUMBER($J439),MOD($J439,1)=0,$J439&gt;=1,$J439&lt;=5,ISNUMBER($L439),MOD($L439,1)=0,$L439&gt;=1,$L439&lt;=5,ISNUMBER($N439),$N439&gt;=0,$O439="",$P439&lt;&gt;"",$Q439&lt;&gt;"",$R439="runner_monotonic_complete"),"ScorableComplete",IF(AND($A439&lt;&gt;"",$B439&lt;&gt;"",$C439&lt;&gt;"",$D439&lt;&gt;"",$E439&lt;&gt;"",$F439&lt;&gt;"",ISNUMBER($G439),$G439&gt;=1,OR($O439="insufficient_source_evidence",$O439="operational_failure"),$H439="",$J439="",$L439="",$N439="",$Q439&lt;&gt;"",$R439="runner_monotonic_not_scorable"),"NotScorable","Partial")))</x:f>
        <x:v>Pending</x:v>
      </x:c>
    </x:row>
    <x:row r="440">
      <x:c r="A440" s="44"/>
      <x:c r="B440" s="44"/>
      <x:c r="C440" s="44"/>
      <x:c r="D440" s="44"/>
      <x:c r="E440" s="44"/>
      <x:c r="F440" s="44"/>
      <x:c r="G440" s="44"/>
      <x:c r="H440" s="44"/>
      <x:c r="I440" s="44"/>
      <x:c r="J440" s="44"/>
      <x:c r="K440" s="44"/>
      <x:c r="L440" s="44"/>
      <x:c r="M440" s="44"/>
      <x:c r="N440" s="50"/>
      <x:c r="O440" s="44"/>
      <x:c r="P440" s="53"/>
      <x:c r="Q440" s="53"/>
      <x:c r="R440" s="44"/>
      <x:c r="S440" s="47" t="str">
        <x:f>IF(COUNTA($H440:$R440)=0,"Pending",IF(AND($A440&lt;&gt;"",$B440&lt;&gt;"",$C440&lt;&gt;"",$D440&lt;&gt;"",$E440&lt;&gt;"",$F440&lt;&gt;"",ISNUMBER($G440),$G440&gt;=1,ISNUMBER($H440),MOD($H440,1)=0,$H440&gt;=1,$H440&lt;=5,ISNUMBER($J440),MOD($J440,1)=0,$J440&gt;=1,$J440&lt;=5,ISNUMBER($L440),MOD($L440,1)=0,$L440&gt;=1,$L440&lt;=5,ISNUMBER($N440),$N440&gt;=0,$O440="",$P440&lt;&gt;"",$Q440&lt;&gt;"",$R440="runner_monotonic_complete"),"ScorableComplete",IF(AND($A440&lt;&gt;"",$B440&lt;&gt;"",$C440&lt;&gt;"",$D440&lt;&gt;"",$E440&lt;&gt;"",$F440&lt;&gt;"",ISNUMBER($G440),$G440&gt;=1,OR($O440="insufficient_source_evidence",$O440="operational_failure"),$H440="",$J440="",$L440="",$N440="",$Q440&lt;&gt;"",$R440="runner_monotonic_not_scorable"),"NotScorable","Partial")))</x:f>
        <x:v>Pending</x:v>
      </x:c>
    </x:row>
    <x:row r="441">
      <x:c r="A441" s="44"/>
      <x:c r="B441" s="44"/>
      <x:c r="C441" s="44"/>
      <x:c r="D441" s="44"/>
      <x:c r="E441" s="44"/>
      <x:c r="F441" s="44"/>
      <x:c r="G441" s="44"/>
      <x:c r="H441" s="44"/>
      <x:c r="I441" s="44"/>
      <x:c r="J441" s="44"/>
      <x:c r="K441" s="44"/>
      <x:c r="L441" s="44"/>
      <x:c r="M441" s="44"/>
      <x:c r="N441" s="50"/>
      <x:c r="O441" s="44"/>
      <x:c r="P441" s="53"/>
      <x:c r="Q441" s="53"/>
      <x:c r="R441" s="44"/>
      <x:c r="S441" s="47" t="str">
        <x:f>IF(COUNTA($H441:$R441)=0,"Pending",IF(AND($A441&lt;&gt;"",$B441&lt;&gt;"",$C441&lt;&gt;"",$D441&lt;&gt;"",$E441&lt;&gt;"",$F441&lt;&gt;"",ISNUMBER($G441),$G441&gt;=1,ISNUMBER($H441),MOD($H441,1)=0,$H441&gt;=1,$H441&lt;=5,ISNUMBER($J441),MOD($J441,1)=0,$J441&gt;=1,$J441&lt;=5,ISNUMBER($L441),MOD($L441,1)=0,$L441&gt;=1,$L441&lt;=5,ISNUMBER($N441),$N441&gt;=0,$O441="",$P441&lt;&gt;"",$Q441&lt;&gt;"",$R441="runner_monotonic_complete"),"ScorableComplete",IF(AND($A441&lt;&gt;"",$B441&lt;&gt;"",$C441&lt;&gt;"",$D441&lt;&gt;"",$E441&lt;&gt;"",$F441&lt;&gt;"",ISNUMBER($G441),$G441&gt;=1,OR($O441="insufficient_source_evidence",$O441="operational_failure"),$H441="",$J441="",$L441="",$N441="",$Q441&lt;&gt;"",$R441="runner_monotonic_not_scorable"),"NotScorable","Partial")))</x:f>
        <x:v>Pending</x:v>
      </x:c>
    </x:row>
    <x:row r="442">
      <x:c r="A442" s="44"/>
      <x:c r="B442" s="44"/>
      <x:c r="C442" s="44"/>
      <x:c r="D442" s="44"/>
      <x:c r="E442" s="44"/>
      <x:c r="F442" s="44"/>
      <x:c r="G442" s="44"/>
      <x:c r="H442" s="44"/>
      <x:c r="I442" s="44"/>
      <x:c r="J442" s="44"/>
      <x:c r="K442" s="44"/>
      <x:c r="L442" s="44"/>
      <x:c r="M442" s="44"/>
      <x:c r="N442" s="50"/>
      <x:c r="O442" s="44"/>
      <x:c r="P442" s="53"/>
      <x:c r="Q442" s="53"/>
      <x:c r="R442" s="44"/>
      <x:c r="S442" s="47" t="str">
        <x:f>IF(COUNTA($H442:$R442)=0,"Pending",IF(AND($A442&lt;&gt;"",$B442&lt;&gt;"",$C442&lt;&gt;"",$D442&lt;&gt;"",$E442&lt;&gt;"",$F442&lt;&gt;"",ISNUMBER($G442),$G442&gt;=1,ISNUMBER($H442),MOD($H442,1)=0,$H442&gt;=1,$H442&lt;=5,ISNUMBER($J442),MOD($J442,1)=0,$J442&gt;=1,$J442&lt;=5,ISNUMBER($L442),MOD($L442,1)=0,$L442&gt;=1,$L442&lt;=5,ISNUMBER($N442),$N442&gt;=0,$O442="",$P442&lt;&gt;"",$Q442&lt;&gt;"",$R442="runner_monotonic_complete"),"ScorableComplete",IF(AND($A442&lt;&gt;"",$B442&lt;&gt;"",$C442&lt;&gt;"",$D442&lt;&gt;"",$E442&lt;&gt;"",$F442&lt;&gt;"",ISNUMBER($G442),$G442&gt;=1,OR($O442="insufficient_source_evidence",$O442="operational_failure"),$H442="",$J442="",$L442="",$N442="",$Q442&lt;&gt;"",$R442="runner_monotonic_not_scorable"),"NotScorable","Partial")))</x:f>
        <x:v>Pending</x:v>
      </x:c>
    </x:row>
    <x:row r="443">
      <x:c r="A443" s="44"/>
      <x:c r="B443" s="44"/>
      <x:c r="C443" s="44"/>
      <x:c r="D443" s="44"/>
      <x:c r="E443" s="44"/>
      <x:c r="F443" s="44"/>
      <x:c r="G443" s="44"/>
      <x:c r="H443" s="44"/>
      <x:c r="I443" s="44"/>
      <x:c r="J443" s="44"/>
      <x:c r="K443" s="44"/>
      <x:c r="L443" s="44"/>
      <x:c r="M443" s="44"/>
      <x:c r="N443" s="50"/>
      <x:c r="O443" s="44"/>
      <x:c r="P443" s="53"/>
      <x:c r="Q443" s="53"/>
      <x:c r="R443" s="44"/>
      <x:c r="S443" s="47" t="str">
        <x:f>IF(COUNTA($H443:$R443)=0,"Pending",IF(AND($A443&lt;&gt;"",$B443&lt;&gt;"",$C443&lt;&gt;"",$D443&lt;&gt;"",$E443&lt;&gt;"",$F443&lt;&gt;"",ISNUMBER($G443),$G443&gt;=1,ISNUMBER($H443),MOD($H443,1)=0,$H443&gt;=1,$H443&lt;=5,ISNUMBER($J443),MOD($J443,1)=0,$J443&gt;=1,$J443&lt;=5,ISNUMBER($L443),MOD($L443,1)=0,$L443&gt;=1,$L443&lt;=5,ISNUMBER($N443),$N443&gt;=0,$O443="",$P443&lt;&gt;"",$Q443&lt;&gt;"",$R443="runner_monotonic_complete"),"ScorableComplete",IF(AND($A443&lt;&gt;"",$B443&lt;&gt;"",$C443&lt;&gt;"",$D443&lt;&gt;"",$E443&lt;&gt;"",$F443&lt;&gt;"",ISNUMBER($G443),$G443&gt;=1,OR($O443="insufficient_source_evidence",$O443="operational_failure"),$H443="",$J443="",$L443="",$N443="",$Q443&lt;&gt;"",$R443="runner_monotonic_not_scorable"),"NotScorable","Partial")))</x:f>
        <x:v>Pending</x:v>
      </x:c>
    </x:row>
    <x:row r="444">
      <x:c r="A444" s="44"/>
      <x:c r="B444" s="44"/>
      <x:c r="C444" s="44"/>
      <x:c r="D444" s="44"/>
      <x:c r="E444" s="44"/>
      <x:c r="F444" s="44"/>
      <x:c r="G444" s="44"/>
      <x:c r="H444" s="44"/>
      <x:c r="I444" s="44"/>
      <x:c r="J444" s="44"/>
      <x:c r="K444" s="44"/>
      <x:c r="L444" s="44"/>
      <x:c r="M444" s="44"/>
      <x:c r="N444" s="50"/>
      <x:c r="O444" s="44"/>
      <x:c r="P444" s="53"/>
      <x:c r="Q444" s="53"/>
      <x:c r="R444" s="44"/>
      <x:c r="S444" s="47" t="str">
        <x:f>IF(COUNTA($H444:$R444)=0,"Pending",IF(AND($A444&lt;&gt;"",$B444&lt;&gt;"",$C444&lt;&gt;"",$D444&lt;&gt;"",$E444&lt;&gt;"",$F444&lt;&gt;"",ISNUMBER($G444),$G444&gt;=1,ISNUMBER($H444),MOD($H444,1)=0,$H444&gt;=1,$H444&lt;=5,ISNUMBER($J444),MOD($J444,1)=0,$J444&gt;=1,$J444&lt;=5,ISNUMBER($L444),MOD($L444,1)=0,$L444&gt;=1,$L444&lt;=5,ISNUMBER($N444),$N444&gt;=0,$O444="",$P444&lt;&gt;"",$Q444&lt;&gt;"",$R444="runner_monotonic_complete"),"ScorableComplete",IF(AND($A444&lt;&gt;"",$B444&lt;&gt;"",$C444&lt;&gt;"",$D444&lt;&gt;"",$E444&lt;&gt;"",$F444&lt;&gt;"",ISNUMBER($G444),$G444&gt;=1,OR($O444="insufficient_source_evidence",$O444="operational_failure"),$H444="",$J444="",$L444="",$N444="",$Q444&lt;&gt;"",$R444="runner_monotonic_not_scorable"),"NotScorable","Partial")))</x:f>
        <x:v>Pending</x:v>
      </x:c>
    </x:row>
    <x:row r="445">
      <x:c r="A445" s="44"/>
      <x:c r="B445" s="44"/>
      <x:c r="C445" s="44"/>
      <x:c r="D445" s="44"/>
      <x:c r="E445" s="44"/>
      <x:c r="F445" s="44"/>
      <x:c r="G445" s="44"/>
      <x:c r="H445" s="44"/>
      <x:c r="I445" s="44"/>
      <x:c r="J445" s="44"/>
      <x:c r="K445" s="44"/>
      <x:c r="L445" s="44"/>
      <x:c r="M445" s="44"/>
      <x:c r="N445" s="50"/>
      <x:c r="O445" s="44"/>
      <x:c r="P445" s="53"/>
      <x:c r="Q445" s="53"/>
      <x:c r="R445" s="44"/>
      <x:c r="S445" s="47" t="str">
        <x:f>IF(COUNTA($H445:$R445)=0,"Pending",IF(AND($A445&lt;&gt;"",$B445&lt;&gt;"",$C445&lt;&gt;"",$D445&lt;&gt;"",$E445&lt;&gt;"",$F445&lt;&gt;"",ISNUMBER($G445),$G445&gt;=1,ISNUMBER($H445),MOD($H445,1)=0,$H445&gt;=1,$H445&lt;=5,ISNUMBER($J445),MOD($J445,1)=0,$J445&gt;=1,$J445&lt;=5,ISNUMBER($L445),MOD($L445,1)=0,$L445&gt;=1,$L445&lt;=5,ISNUMBER($N445),$N445&gt;=0,$O445="",$P445&lt;&gt;"",$Q445&lt;&gt;"",$R445="runner_monotonic_complete"),"ScorableComplete",IF(AND($A445&lt;&gt;"",$B445&lt;&gt;"",$C445&lt;&gt;"",$D445&lt;&gt;"",$E445&lt;&gt;"",$F445&lt;&gt;"",ISNUMBER($G445),$G445&gt;=1,OR($O445="insufficient_source_evidence",$O445="operational_failure"),$H445="",$J445="",$L445="",$N445="",$Q445&lt;&gt;"",$R445="runner_monotonic_not_scorable"),"NotScorable","Partial")))</x:f>
        <x:v>Pending</x:v>
      </x:c>
    </x:row>
    <x:row r="446">
      <x:c r="A446" s="44"/>
      <x:c r="B446" s="44"/>
      <x:c r="C446" s="44"/>
      <x:c r="D446" s="44"/>
      <x:c r="E446" s="44"/>
      <x:c r="F446" s="44"/>
      <x:c r="G446" s="44"/>
      <x:c r="H446" s="44"/>
      <x:c r="I446" s="44"/>
      <x:c r="J446" s="44"/>
      <x:c r="K446" s="44"/>
      <x:c r="L446" s="44"/>
      <x:c r="M446" s="44"/>
      <x:c r="N446" s="50"/>
      <x:c r="O446" s="44"/>
      <x:c r="P446" s="53"/>
      <x:c r="Q446" s="53"/>
      <x:c r="R446" s="44"/>
      <x:c r="S446" s="47" t="str">
        <x:f>IF(COUNTA($H446:$R446)=0,"Pending",IF(AND($A446&lt;&gt;"",$B446&lt;&gt;"",$C446&lt;&gt;"",$D446&lt;&gt;"",$E446&lt;&gt;"",$F446&lt;&gt;"",ISNUMBER($G446),$G446&gt;=1,ISNUMBER($H446),MOD($H446,1)=0,$H446&gt;=1,$H446&lt;=5,ISNUMBER($J446),MOD($J446,1)=0,$J446&gt;=1,$J446&lt;=5,ISNUMBER($L446),MOD($L446,1)=0,$L446&gt;=1,$L446&lt;=5,ISNUMBER($N446),$N446&gt;=0,$O446="",$P446&lt;&gt;"",$Q446&lt;&gt;"",$R446="runner_monotonic_complete"),"ScorableComplete",IF(AND($A446&lt;&gt;"",$B446&lt;&gt;"",$C446&lt;&gt;"",$D446&lt;&gt;"",$E446&lt;&gt;"",$F446&lt;&gt;"",ISNUMBER($G446),$G446&gt;=1,OR($O446="insufficient_source_evidence",$O446="operational_failure"),$H446="",$J446="",$L446="",$N446="",$Q446&lt;&gt;"",$R446="runner_monotonic_not_scorable"),"NotScorable","Partial")))</x:f>
        <x:v>Pending</x:v>
      </x:c>
    </x:row>
    <x:row r="447">
      <x:c r="A447" s="44"/>
      <x:c r="B447" s="44"/>
      <x:c r="C447" s="44"/>
      <x:c r="D447" s="44"/>
      <x:c r="E447" s="44"/>
      <x:c r="F447" s="44"/>
      <x:c r="G447" s="44"/>
      <x:c r="H447" s="44"/>
      <x:c r="I447" s="44"/>
      <x:c r="J447" s="44"/>
      <x:c r="K447" s="44"/>
      <x:c r="L447" s="44"/>
      <x:c r="M447" s="44"/>
      <x:c r="N447" s="50"/>
      <x:c r="O447" s="44"/>
      <x:c r="P447" s="53"/>
      <x:c r="Q447" s="53"/>
      <x:c r="R447" s="44"/>
      <x:c r="S447" s="47" t="str">
        <x:f>IF(COUNTA($H447:$R447)=0,"Pending",IF(AND($A447&lt;&gt;"",$B447&lt;&gt;"",$C447&lt;&gt;"",$D447&lt;&gt;"",$E447&lt;&gt;"",$F447&lt;&gt;"",ISNUMBER($G447),$G447&gt;=1,ISNUMBER($H447),MOD($H447,1)=0,$H447&gt;=1,$H447&lt;=5,ISNUMBER($J447),MOD($J447,1)=0,$J447&gt;=1,$J447&lt;=5,ISNUMBER($L447),MOD($L447,1)=0,$L447&gt;=1,$L447&lt;=5,ISNUMBER($N447),$N447&gt;=0,$O447="",$P447&lt;&gt;"",$Q447&lt;&gt;"",$R447="runner_monotonic_complete"),"ScorableComplete",IF(AND($A447&lt;&gt;"",$B447&lt;&gt;"",$C447&lt;&gt;"",$D447&lt;&gt;"",$E447&lt;&gt;"",$F447&lt;&gt;"",ISNUMBER($G447),$G447&gt;=1,OR($O447="insufficient_source_evidence",$O447="operational_failure"),$H447="",$J447="",$L447="",$N447="",$Q447&lt;&gt;"",$R447="runner_monotonic_not_scorable"),"NotScorable","Partial")))</x:f>
        <x:v>Pending</x:v>
      </x:c>
    </x:row>
    <x:row r="448">
      <x:c r="A448" s="44"/>
      <x:c r="B448" s="44"/>
      <x:c r="C448" s="44"/>
      <x:c r="D448" s="44"/>
      <x:c r="E448" s="44"/>
      <x:c r="F448" s="44"/>
      <x:c r="G448" s="44"/>
      <x:c r="H448" s="44"/>
      <x:c r="I448" s="44"/>
      <x:c r="J448" s="44"/>
      <x:c r="K448" s="44"/>
      <x:c r="L448" s="44"/>
      <x:c r="M448" s="44"/>
      <x:c r="N448" s="50"/>
      <x:c r="O448" s="44"/>
      <x:c r="P448" s="53"/>
      <x:c r="Q448" s="53"/>
      <x:c r="R448" s="44"/>
      <x:c r="S448" s="47" t="str">
        <x:f>IF(COUNTA($H448:$R448)=0,"Pending",IF(AND($A448&lt;&gt;"",$B448&lt;&gt;"",$C448&lt;&gt;"",$D448&lt;&gt;"",$E448&lt;&gt;"",$F448&lt;&gt;"",ISNUMBER($G448),$G448&gt;=1,ISNUMBER($H448),MOD($H448,1)=0,$H448&gt;=1,$H448&lt;=5,ISNUMBER($J448),MOD($J448,1)=0,$J448&gt;=1,$J448&lt;=5,ISNUMBER($L448),MOD($L448,1)=0,$L448&gt;=1,$L448&lt;=5,ISNUMBER($N448),$N448&gt;=0,$O448="",$P448&lt;&gt;"",$Q448&lt;&gt;"",$R448="runner_monotonic_complete"),"ScorableComplete",IF(AND($A448&lt;&gt;"",$B448&lt;&gt;"",$C448&lt;&gt;"",$D448&lt;&gt;"",$E448&lt;&gt;"",$F448&lt;&gt;"",ISNUMBER($G448),$G448&gt;=1,OR($O448="insufficient_source_evidence",$O448="operational_failure"),$H448="",$J448="",$L448="",$N448="",$Q448&lt;&gt;"",$R448="runner_monotonic_not_scorable"),"NotScorable","Partial")))</x:f>
        <x:v>Pending</x:v>
      </x:c>
    </x:row>
    <x:row r="449">
      <x:c r="A449" s="44"/>
      <x:c r="B449" s="44"/>
      <x:c r="C449" s="44"/>
      <x:c r="D449" s="44"/>
      <x:c r="E449" s="44"/>
      <x:c r="F449" s="44"/>
      <x:c r="G449" s="44"/>
      <x:c r="H449" s="44"/>
      <x:c r="I449" s="44"/>
      <x:c r="J449" s="44"/>
      <x:c r="K449" s="44"/>
      <x:c r="L449" s="44"/>
      <x:c r="M449" s="44"/>
      <x:c r="N449" s="50"/>
      <x:c r="O449" s="44"/>
      <x:c r="P449" s="53"/>
      <x:c r="Q449" s="53"/>
      <x:c r="R449" s="44"/>
      <x:c r="S449" s="47" t="str">
        <x:f>IF(COUNTA($H449:$R449)=0,"Pending",IF(AND($A449&lt;&gt;"",$B449&lt;&gt;"",$C449&lt;&gt;"",$D449&lt;&gt;"",$E449&lt;&gt;"",$F449&lt;&gt;"",ISNUMBER($G449),$G449&gt;=1,ISNUMBER($H449),MOD($H449,1)=0,$H449&gt;=1,$H449&lt;=5,ISNUMBER($J449),MOD($J449,1)=0,$J449&gt;=1,$J449&lt;=5,ISNUMBER($L449),MOD($L449,1)=0,$L449&gt;=1,$L449&lt;=5,ISNUMBER($N449),$N449&gt;=0,$O449="",$P449&lt;&gt;"",$Q449&lt;&gt;"",$R449="runner_monotonic_complete"),"ScorableComplete",IF(AND($A449&lt;&gt;"",$B449&lt;&gt;"",$C449&lt;&gt;"",$D449&lt;&gt;"",$E449&lt;&gt;"",$F449&lt;&gt;"",ISNUMBER($G449),$G449&gt;=1,OR($O449="insufficient_source_evidence",$O449="operational_failure"),$H449="",$J449="",$L449="",$N449="",$Q449&lt;&gt;"",$R449="runner_monotonic_not_scorable"),"NotScorable","Partial")))</x:f>
        <x:v>Pending</x:v>
      </x:c>
    </x:row>
    <x:row r="450">
      <x:c r="A450" s="44"/>
      <x:c r="B450" s="44"/>
      <x:c r="C450" s="44"/>
      <x:c r="D450" s="44"/>
      <x:c r="E450" s="44"/>
      <x:c r="F450" s="44"/>
      <x:c r="G450" s="44"/>
      <x:c r="H450" s="44"/>
      <x:c r="I450" s="44"/>
      <x:c r="J450" s="44"/>
      <x:c r="K450" s="44"/>
      <x:c r="L450" s="44"/>
      <x:c r="M450" s="44"/>
      <x:c r="N450" s="50"/>
      <x:c r="O450" s="44"/>
      <x:c r="P450" s="53"/>
      <x:c r="Q450" s="53"/>
      <x:c r="R450" s="44"/>
      <x:c r="S450" s="47" t="str">
        <x:f>IF(COUNTA($H450:$R450)=0,"Pending",IF(AND($A450&lt;&gt;"",$B450&lt;&gt;"",$C450&lt;&gt;"",$D450&lt;&gt;"",$E450&lt;&gt;"",$F450&lt;&gt;"",ISNUMBER($G450),$G450&gt;=1,ISNUMBER($H450),MOD($H450,1)=0,$H450&gt;=1,$H450&lt;=5,ISNUMBER($J450),MOD($J450,1)=0,$J450&gt;=1,$J450&lt;=5,ISNUMBER($L450),MOD($L450,1)=0,$L450&gt;=1,$L450&lt;=5,ISNUMBER($N450),$N450&gt;=0,$O450="",$P450&lt;&gt;"",$Q450&lt;&gt;"",$R450="runner_monotonic_complete"),"ScorableComplete",IF(AND($A450&lt;&gt;"",$B450&lt;&gt;"",$C450&lt;&gt;"",$D450&lt;&gt;"",$E450&lt;&gt;"",$F450&lt;&gt;"",ISNUMBER($G450),$G450&gt;=1,OR($O450="insufficient_source_evidence",$O450="operational_failure"),$H450="",$J450="",$L450="",$N450="",$Q450&lt;&gt;"",$R450="runner_monotonic_not_scorable"),"NotScorable","Partial")))</x:f>
        <x:v>Pending</x:v>
      </x:c>
    </x:row>
    <x:row r="451">
      <x:c r="A451" s="44"/>
      <x:c r="B451" s="44"/>
      <x:c r="C451" s="44"/>
      <x:c r="D451" s="44"/>
      <x:c r="E451" s="44"/>
      <x:c r="F451" s="44"/>
      <x:c r="G451" s="44"/>
      <x:c r="H451" s="44"/>
      <x:c r="I451" s="44"/>
      <x:c r="J451" s="44"/>
      <x:c r="K451" s="44"/>
      <x:c r="L451" s="44"/>
      <x:c r="M451" s="44"/>
      <x:c r="N451" s="50"/>
      <x:c r="O451" s="44"/>
      <x:c r="P451" s="53"/>
      <x:c r="Q451" s="53"/>
      <x:c r="R451" s="44"/>
      <x:c r="S451" s="47" t="str">
        <x:f>IF(COUNTA($H451:$R451)=0,"Pending",IF(AND($A451&lt;&gt;"",$B451&lt;&gt;"",$C451&lt;&gt;"",$D451&lt;&gt;"",$E451&lt;&gt;"",$F451&lt;&gt;"",ISNUMBER($G451),$G451&gt;=1,ISNUMBER($H451),MOD($H451,1)=0,$H451&gt;=1,$H451&lt;=5,ISNUMBER($J451),MOD($J451,1)=0,$J451&gt;=1,$J451&lt;=5,ISNUMBER($L451),MOD($L451,1)=0,$L451&gt;=1,$L451&lt;=5,ISNUMBER($N451),$N451&gt;=0,$O451="",$P451&lt;&gt;"",$Q451&lt;&gt;"",$R451="runner_monotonic_complete"),"ScorableComplete",IF(AND($A451&lt;&gt;"",$B451&lt;&gt;"",$C451&lt;&gt;"",$D451&lt;&gt;"",$E451&lt;&gt;"",$F451&lt;&gt;"",ISNUMBER($G451),$G451&gt;=1,OR($O451="insufficient_source_evidence",$O451="operational_failure"),$H451="",$J451="",$L451="",$N451="",$Q451&lt;&gt;"",$R451="runner_monotonic_not_scorable"),"NotScorable","Partial")))</x:f>
        <x:v>Pending</x:v>
      </x:c>
    </x:row>
    <x:row r="452">
      <x:c r="A452" s="44"/>
      <x:c r="B452" s="44"/>
      <x:c r="C452" s="44"/>
      <x:c r="D452" s="44"/>
      <x:c r="E452" s="44"/>
      <x:c r="F452" s="44"/>
      <x:c r="G452" s="44"/>
      <x:c r="H452" s="44"/>
      <x:c r="I452" s="44"/>
      <x:c r="J452" s="44"/>
      <x:c r="K452" s="44"/>
      <x:c r="L452" s="44"/>
      <x:c r="M452" s="44"/>
      <x:c r="N452" s="50"/>
      <x:c r="O452" s="44"/>
      <x:c r="P452" s="53"/>
      <x:c r="Q452" s="53"/>
      <x:c r="R452" s="44"/>
      <x:c r="S452" s="47" t="str">
        <x:f>IF(COUNTA($H452:$R452)=0,"Pending",IF(AND($A452&lt;&gt;"",$B452&lt;&gt;"",$C452&lt;&gt;"",$D452&lt;&gt;"",$E452&lt;&gt;"",$F452&lt;&gt;"",ISNUMBER($G452),$G452&gt;=1,ISNUMBER($H452),MOD($H452,1)=0,$H452&gt;=1,$H452&lt;=5,ISNUMBER($J452),MOD($J452,1)=0,$J452&gt;=1,$J452&lt;=5,ISNUMBER($L452),MOD($L452,1)=0,$L452&gt;=1,$L452&lt;=5,ISNUMBER($N452),$N452&gt;=0,$O452="",$P452&lt;&gt;"",$Q452&lt;&gt;"",$R452="runner_monotonic_complete"),"ScorableComplete",IF(AND($A452&lt;&gt;"",$B452&lt;&gt;"",$C452&lt;&gt;"",$D452&lt;&gt;"",$E452&lt;&gt;"",$F452&lt;&gt;"",ISNUMBER($G452),$G452&gt;=1,OR($O452="insufficient_source_evidence",$O452="operational_failure"),$H452="",$J452="",$L452="",$N452="",$Q452&lt;&gt;"",$R452="runner_monotonic_not_scorable"),"NotScorable","Partial")))</x:f>
        <x:v>Pending</x:v>
      </x:c>
    </x:row>
    <x:row r="453">
      <x:c r="A453" s="44"/>
      <x:c r="B453" s="44"/>
      <x:c r="C453" s="44"/>
      <x:c r="D453" s="44"/>
      <x:c r="E453" s="44"/>
      <x:c r="F453" s="44"/>
      <x:c r="G453" s="44"/>
      <x:c r="H453" s="44"/>
      <x:c r="I453" s="44"/>
      <x:c r="J453" s="44"/>
      <x:c r="K453" s="44"/>
      <x:c r="L453" s="44"/>
      <x:c r="M453" s="44"/>
      <x:c r="N453" s="50"/>
      <x:c r="O453" s="44"/>
      <x:c r="P453" s="53"/>
      <x:c r="Q453" s="53"/>
      <x:c r="R453" s="44"/>
      <x:c r="S453" s="47" t="str">
        <x:f>IF(COUNTA($H453:$R453)=0,"Pending",IF(AND($A453&lt;&gt;"",$B453&lt;&gt;"",$C453&lt;&gt;"",$D453&lt;&gt;"",$E453&lt;&gt;"",$F453&lt;&gt;"",ISNUMBER($G453),$G453&gt;=1,ISNUMBER($H453),MOD($H453,1)=0,$H453&gt;=1,$H453&lt;=5,ISNUMBER($J453),MOD($J453,1)=0,$J453&gt;=1,$J453&lt;=5,ISNUMBER($L453),MOD($L453,1)=0,$L453&gt;=1,$L453&lt;=5,ISNUMBER($N453),$N453&gt;=0,$O453="",$P453&lt;&gt;"",$Q453&lt;&gt;"",$R453="runner_monotonic_complete"),"ScorableComplete",IF(AND($A453&lt;&gt;"",$B453&lt;&gt;"",$C453&lt;&gt;"",$D453&lt;&gt;"",$E453&lt;&gt;"",$F453&lt;&gt;"",ISNUMBER($G453),$G453&gt;=1,OR($O453="insufficient_source_evidence",$O453="operational_failure"),$H453="",$J453="",$L453="",$N453="",$Q453&lt;&gt;"",$R453="runner_monotonic_not_scorable"),"NotScorable","Partial")))</x:f>
        <x:v>Pending</x:v>
      </x:c>
    </x:row>
    <x:row r="454">
      <x:c r="A454" s="44"/>
      <x:c r="B454" s="44"/>
      <x:c r="C454" s="44"/>
      <x:c r="D454" s="44"/>
      <x:c r="E454" s="44"/>
      <x:c r="F454" s="44"/>
      <x:c r="G454" s="44"/>
      <x:c r="H454" s="44"/>
      <x:c r="I454" s="44"/>
      <x:c r="J454" s="44"/>
      <x:c r="K454" s="44"/>
      <x:c r="L454" s="44"/>
      <x:c r="M454" s="44"/>
      <x:c r="N454" s="50"/>
      <x:c r="O454" s="44"/>
      <x:c r="P454" s="53"/>
      <x:c r="Q454" s="53"/>
      <x:c r="R454" s="44"/>
      <x:c r="S454" s="47" t="str">
        <x:f>IF(COUNTA($H454:$R454)=0,"Pending",IF(AND($A454&lt;&gt;"",$B454&lt;&gt;"",$C454&lt;&gt;"",$D454&lt;&gt;"",$E454&lt;&gt;"",$F454&lt;&gt;"",ISNUMBER($G454),$G454&gt;=1,ISNUMBER($H454),MOD($H454,1)=0,$H454&gt;=1,$H454&lt;=5,ISNUMBER($J454),MOD($J454,1)=0,$J454&gt;=1,$J454&lt;=5,ISNUMBER($L454),MOD($L454,1)=0,$L454&gt;=1,$L454&lt;=5,ISNUMBER($N454),$N454&gt;=0,$O454="",$P454&lt;&gt;"",$Q454&lt;&gt;"",$R454="runner_monotonic_complete"),"ScorableComplete",IF(AND($A454&lt;&gt;"",$B454&lt;&gt;"",$C454&lt;&gt;"",$D454&lt;&gt;"",$E454&lt;&gt;"",$F454&lt;&gt;"",ISNUMBER($G454),$G454&gt;=1,OR($O454="insufficient_source_evidence",$O454="operational_failure"),$H454="",$J454="",$L454="",$N454="",$Q454&lt;&gt;"",$R454="runner_monotonic_not_scorable"),"NotScorable","Partial")))</x:f>
        <x:v>Pending</x:v>
      </x:c>
    </x:row>
    <x:row r="455">
      <x:c r="A455" s="44"/>
      <x:c r="B455" s="44"/>
      <x:c r="C455" s="44"/>
      <x:c r="D455" s="44"/>
      <x:c r="E455" s="44"/>
      <x:c r="F455" s="44"/>
      <x:c r="G455" s="44"/>
      <x:c r="H455" s="44"/>
      <x:c r="I455" s="44"/>
      <x:c r="J455" s="44"/>
      <x:c r="K455" s="44"/>
      <x:c r="L455" s="44"/>
      <x:c r="M455" s="44"/>
      <x:c r="N455" s="50"/>
      <x:c r="O455" s="44"/>
      <x:c r="P455" s="53"/>
      <x:c r="Q455" s="53"/>
      <x:c r="R455" s="44"/>
      <x:c r="S455" s="47" t="str">
        <x:f>IF(COUNTA($H455:$R455)=0,"Pending",IF(AND($A455&lt;&gt;"",$B455&lt;&gt;"",$C455&lt;&gt;"",$D455&lt;&gt;"",$E455&lt;&gt;"",$F455&lt;&gt;"",ISNUMBER($G455),$G455&gt;=1,ISNUMBER($H455),MOD($H455,1)=0,$H455&gt;=1,$H455&lt;=5,ISNUMBER($J455),MOD($J455,1)=0,$J455&gt;=1,$J455&lt;=5,ISNUMBER($L455),MOD($L455,1)=0,$L455&gt;=1,$L455&lt;=5,ISNUMBER($N455),$N455&gt;=0,$O455="",$P455&lt;&gt;"",$Q455&lt;&gt;"",$R455="runner_monotonic_complete"),"ScorableComplete",IF(AND($A455&lt;&gt;"",$B455&lt;&gt;"",$C455&lt;&gt;"",$D455&lt;&gt;"",$E455&lt;&gt;"",$F455&lt;&gt;"",ISNUMBER($G455),$G455&gt;=1,OR($O455="insufficient_source_evidence",$O455="operational_failure"),$H455="",$J455="",$L455="",$N455="",$Q455&lt;&gt;"",$R455="runner_monotonic_not_scorable"),"NotScorable","Partial")))</x:f>
        <x:v>Pending</x:v>
      </x:c>
    </x:row>
    <x:row r="456">
      <x:c r="A456" s="44"/>
      <x:c r="B456" s="44"/>
      <x:c r="C456" s="44"/>
      <x:c r="D456" s="44"/>
      <x:c r="E456" s="44"/>
      <x:c r="F456" s="44"/>
      <x:c r="G456" s="44"/>
      <x:c r="H456" s="44"/>
      <x:c r="I456" s="44"/>
      <x:c r="J456" s="44"/>
      <x:c r="K456" s="44"/>
      <x:c r="L456" s="44"/>
      <x:c r="M456" s="44"/>
      <x:c r="N456" s="50"/>
      <x:c r="O456" s="44"/>
      <x:c r="P456" s="53"/>
      <x:c r="Q456" s="53"/>
      <x:c r="R456" s="44"/>
      <x:c r="S456" s="47" t="str">
        <x:f>IF(COUNTA($H456:$R456)=0,"Pending",IF(AND($A456&lt;&gt;"",$B456&lt;&gt;"",$C456&lt;&gt;"",$D456&lt;&gt;"",$E456&lt;&gt;"",$F456&lt;&gt;"",ISNUMBER($G456),$G456&gt;=1,ISNUMBER($H456),MOD($H456,1)=0,$H456&gt;=1,$H456&lt;=5,ISNUMBER($J456),MOD($J456,1)=0,$J456&gt;=1,$J456&lt;=5,ISNUMBER($L456),MOD($L456,1)=0,$L456&gt;=1,$L456&lt;=5,ISNUMBER($N456),$N456&gt;=0,$O456="",$P456&lt;&gt;"",$Q456&lt;&gt;"",$R456="runner_monotonic_complete"),"ScorableComplete",IF(AND($A456&lt;&gt;"",$B456&lt;&gt;"",$C456&lt;&gt;"",$D456&lt;&gt;"",$E456&lt;&gt;"",$F456&lt;&gt;"",ISNUMBER($G456),$G456&gt;=1,OR($O456="insufficient_source_evidence",$O456="operational_failure"),$H456="",$J456="",$L456="",$N456="",$Q456&lt;&gt;"",$R456="runner_monotonic_not_scorable"),"NotScorable","Partial")))</x:f>
        <x:v>Pending</x:v>
      </x:c>
    </x:row>
    <x:row r="457">
      <x:c r="A457" s="44"/>
      <x:c r="B457" s="44"/>
      <x:c r="C457" s="44"/>
      <x:c r="D457" s="44"/>
      <x:c r="E457" s="44"/>
      <x:c r="F457" s="44"/>
      <x:c r="G457" s="44"/>
      <x:c r="H457" s="44"/>
      <x:c r="I457" s="44"/>
      <x:c r="J457" s="44"/>
      <x:c r="K457" s="44"/>
      <x:c r="L457" s="44"/>
      <x:c r="M457" s="44"/>
      <x:c r="N457" s="50"/>
      <x:c r="O457" s="44"/>
      <x:c r="P457" s="53"/>
      <x:c r="Q457" s="53"/>
      <x:c r="R457" s="44"/>
      <x:c r="S457" s="47" t="str">
        <x:f>IF(COUNTA($H457:$R457)=0,"Pending",IF(AND($A457&lt;&gt;"",$B457&lt;&gt;"",$C457&lt;&gt;"",$D457&lt;&gt;"",$E457&lt;&gt;"",$F457&lt;&gt;"",ISNUMBER($G457),$G457&gt;=1,ISNUMBER($H457),MOD($H457,1)=0,$H457&gt;=1,$H457&lt;=5,ISNUMBER($J457),MOD($J457,1)=0,$J457&gt;=1,$J457&lt;=5,ISNUMBER($L457),MOD($L457,1)=0,$L457&gt;=1,$L457&lt;=5,ISNUMBER($N457),$N457&gt;=0,$O457="",$P457&lt;&gt;"",$Q457&lt;&gt;"",$R457="runner_monotonic_complete"),"ScorableComplete",IF(AND($A457&lt;&gt;"",$B457&lt;&gt;"",$C457&lt;&gt;"",$D457&lt;&gt;"",$E457&lt;&gt;"",$F457&lt;&gt;"",ISNUMBER($G457),$G457&gt;=1,OR($O457="insufficient_source_evidence",$O457="operational_failure"),$H457="",$J457="",$L457="",$N457="",$Q457&lt;&gt;"",$R457="runner_monotonic_not_scorable"),"NotScorable","Partial")))</x:f>
        <x:v>Pending</x:v>
      </x:c>
    </x:row>
    <x:row r="458">
      <x:c r="A458" s="44"/>
      <x:c r="B458" s="44"/>
      <x:c r="C458" s="44"/>
      <x:c r="D458" s="44"/>
      <x:c r="E458" s="44"/>
      <x:c r="F458" s="44"/>
      <x:c r="G458" s="44"/>
      <x:c r="H458" s="44"/>
      <x:c r="I458" s="44"/>
      <x:c r="J458" s="44"/>
      <x:c r="K458" s="44"/>
      <x:c r="L458" s="44"/>
      <x:c r="M458" s="44"/>
      <x:c r="N458" s="50"/>
      <x:c r="O458" s="44"/>
      <x:c r="P458" s="53"/>
      <x:c r="Q458" s="53"/>
      <x:c r="R458" s="44"/>
      <x:c r="S458" s="47" t="str">
        <x:f>IF(COUNTA($H458:$R458)=0,"Pending",IF(AND($A458&lt;&gt;"",$B458&lt;&gt;"",$C458&lt;&gt;"",$D458&lt;&gt;"",$E458&lt;&gt;"",$F458&lt;&gt;"",ISNUMBER($G458),$G458&gt;=1,ISNUMBER($H458),MOD($H458,1)=0,$H458&gt;=1,$H458&lt;=5,ISNUMBER($J458),MOD($J458,1)=0,$J458&gt;=1,$J458&lt;=5,ISNUMBER($L458),MOD($L458,1)=0,$L458&gt;=1,$L458&lt;=5,ISNUMBER($N458),$N458&gt;=0,$O458="",$P458&lt;&gt;"",$Q458&lt;&gt;"",$R458="runner_monotonic_complete"),"ScorableComplete",IF(AND($A458&lt;&gt;"",$B458&lt;&gt;"",$C458&lt;&gt;"",$D458&lt;&gt;"",$E458&lt;&gt;"",$F458&lt;&gt;"",ISNUMBER($G458),$G458&gt;=1,OR($O458="insufficient_source_evidence",$O458="operational_failure"),$H458="",$J458="",$L458="",$N458="",$Q458&lt;&gt;"",$R458="runner_monotonic_not_scorable"),"NotScorable","Partial")))</x:f>
        <x:v>Pending</x:v>
      </x:c>
    </x:row>
    <x:row r="459">
      <x:c r="A459" s="44"/>
      <x:c r="B459" s="44"/>
      <x:c r="C459" s="44"/>
      <x:c r="D459" s="44"/>
      <x:c r="E459" s="44"/>
      <x:c r="F459" s="44"/>
      <x:c r="G459" s="44"/>
      <x:c r="H459" s="44"/>
      <x:c r="I459" s="44"/>
      <x:c r="J459" s="44"/>
      <x:c r="K459" s="44"/>
      <x:c r="L459" s="44"/>
      <x:c r="M459" s="44"/>
      <x:c r="N459" s="50"/>
      <x:c r="O459" s="44"/>
      <x:c r="P459" s="53"/>
      <x:c r="Q459" s="53"/>
      <x:c r="R459" s="44"/>
      <x:c r="S459" s="47" t="str">
        <x:f>IF(COUNTA($H459:$R459)=0,"Pending",IF(AND($A459&lt;&gt;"",$B459&lt;&gt;"",$C459&lt;&gt;"",$D459&lt;&gt;"",$E459&lt;&gt;"",$F459&lt;&gt;"",ISNUMBER($G459),$G459&gt;=1,ISNUMBER($H459),MOD($H459,1)=0,$H459&gt;=1,$H459&lt;=5,ISNUMBER($J459),MOD($J459,1)=0,$J459&gt;=1,$J459&lt;=5,ISNUMBER($L459),MOD($L459,1)=0,$L459&gt;=1,$L459&lt;=5,ISNUMBER($N459),$N459&gt;=0,$O459="",$P459&lt;&gt;"",$Q459&lt;&gt;"",$R459="runner_monotonic_complete"),"ScorableComplete",IF(AND($A459&lt;&gt;"",$B459&lt;&gt;"",$C459&lt;&gt;"",$D459&lt;&gt;"",$E459&lt;&gt;"",$F459&lt;&gt;"",ISNUMBER($G459),$G459&gt;=1,OR($O459="insufficient_source_evidence",$O459="operational_failure"),$H459="",$J459="",$L459="",$N459="",$Q459&lt;&gt;"",$R459="runner_monotonic_not_scorable"),"NotScorable","Partial")))</x:f>
        <x:v>Pending</x:v>
      </x:c>
    </x:row>
    <x:row r="460">
      <x:c r="A460" s="44"/>
      <x:c r="B460" s="44"/>
      <x:c r="C460" s="44"/>
      <x:c r="D460" s="44"/>
      <x:c r="E460" s="44"/>
      <x:c r="F460" s="44"/>
      <x:c r="G460" s="44"/>
      <x:c r="H460" s="44"/>
      <x:c r="I460" s="44"/>
      <x:c r="J460" s="44"/>
      <x:c r="K460" s="44"/>
      <x:c r="L460" s="44"/>
      <x:c r="M460" s="44"/>
      <x:c r="N460" s="50"/>
      <x:c r="O460" s="44"/>
      <x:c r="P460" s="53"/>
      <x:c r="Q460" s="53"/>
      <x:c r="R460" s="44"/>
      <x:c r="S460" s="47" t="str">
        <x:f>IF(COUNTA($H460:$R460)=0,"Pending",IF(AND($A460&lt;&gt;"",$B460&lt;&gt;"",$C460&lt;&gt;"",$D460&lt;&gt;"",$E460&lt;&gt;"",$F460&lt;&gt;"",ISNUMBER($G460),$G460&gt;=1,ISNUMBER($H460),MOD($H460,1)=0,$H460&gt;=1,$H460&lt;=5,ISNUMBER($J460),MOD($J460,1)=0,$J460&gt;=1,$J460&lt;=5,ISNUMBER($L460),MOD($L460,1)=0,$L460&gt;=1,$L460&lt;=5,ISNUMBER($N460),$N460&gt;=0,$O460="",$P460&lt;&gt;"",$Q460&lt;&gt;"",$R460="runner_monotonic_complete"),"ScorableComplete",IF(AND($A460&lt;&gt;"",$B460&lt;&gt;"",$C460&lt;&gt;"",$D460&lt;&gt;"",$E460&lt;&gt;"",$F460&lt;&gt;"",ISNUMBER($G460),$G460&gt;=1,OR($O460="insufficient_source_evidence",$O460="operational_failure"),$H460="",$J460="",$L460="",$N460="",$Q460&lt;&gt;"",$R460="runner_monotonic_not_scorable"),"NotScorable","Partial")))</x:f>
        <x:v>Pending</x:v>
      </x:c>
    </x:row>
    <x:row r="461">
      <x:c r="A461" s="44"/>
      <x:c r="B461" s="44"/>
      <x:c r="C461" s="44"/>
      <x:c r="D461" s="44"/>
      <x:c r="E461" s="44"/>
      <x:c r="F461" s="44"/>
      <x:c r="G461" s="44"/>
      <x:c r="H461" s="44"/>
      <x:c r="I461" s="44"/>
      <x:c r="J461" s="44"/>
      <x:c r="K461" s="44"/>
      <x:c r="L461" s="44"/>
      <x:c r="M461" s="44"/>
      <x:c r="N461" s="50"/>
      <x:c r="O461" s="44"/>
      <x:c r="P461" s="53"/>
      <x:c r="Q461" s="53"/>
      <x:c r="R461" s="44"/>
      <x:c r="S461" s="47" t="str">
        <x:f>IF(COUNTA($H461:$R461)=0,"Pending",IF(AND($A461&lt;&gt;"",$B461&lt;&gt;"",$C461&lt;&gt;"",$D461&lt;&gt;"",$E461&lt;&gt;"",$F461&lt;&gt;"",ISNUMBER($G461),$G461&gt;=1,ISNUMBER($H461),MOD($H461,1)=0,$H461&gt;=1,$H461&lt;=5,ISNUMBER($J461),MOD($J461,1)=0,$J461&gt;=1,$J461&lt;=5,ISNUMBER($L461),MOD($L461,1)=0,$L461&gt;=1,$L461&lt;=5,ISNUMBER($N461),$N461&gt;=0,$O461="",$P461&lt;&gt;"",$Q461&lt;&gt;"",$R461="runner_monotonic_complete"),"ScorableComplete",IF(AND($A461&lt;&gt;"",$B461&lt;&gt;"",$C461&lt;&gt;"",$D461&lt;&gt;"",$E461&lt;&gt;"",$F461&lt;&gt;"",ISNUMBER($G461),$G461&gt;=1,OR($O461="insufficient_source_evidence",$O461="operational_failure"),$H461="",$J461="",$L461="",$N461="",$Q461&lt;&gt;"",$R461="runner_monotonic_not_scorable"),"NotScorable","Partial")))</x:f>
        <x:v>Pending</x:v>
      </x:c>
    </x:row>
    <x:row r="462">
      <x:c r="A462" s="44"/>
      <x:c r="B462" s="44"/>
      <x:c r="C462" s="44"/>
      <x:c r="D462" s="44"/>
      <x:c r="E462" s="44"/>
      <x:c r="F462" s="44"/>
      <x:c r="G462" s="44"/>
      <x:c r="H462" s="44"/>
      <x:c r="I462" s="44"/>
      <x:c r="J462" s="44"/>
      <x:c r="K462" s="44"/>
      <x:c r="L462" s="44"/>
      <x:c r="M462" s="44"/>
      <x:c r="N462" s="50"/>
      <x:c r="O462" s="44"/>
      <x:c r="P462" s="53"/>
      <x:c r="Q462" s="53"/>
      <x:c r="R462" s="44"/>
      <x:c r="S462" s="47" t="str">
        <x:f>IF(COUNTA($H462:$R462)=0,"Pending",IF(AND($A462&lt;&gt;"",$B462&lt;&gt;"",$C462&lt;&gt;"",$D462&lt;&gt;"",$E462&lt;&gt;"",$F462&lt;&gt;"",ISNUMBER($G462),$G462&gt;=1,ISNUMBER($H462),MOD($H462,1)=0,$H462&gt;=1,$H462&lt;=5,ISNUMBER($J462),MOD($J462,1)=0,$J462&gt;=1,$J462&lt;=5,ISNUMBER($L462),MOD($L462,1)=0,$L462&gt;=1,$L462&lt;=5,ISNUMBER($N462),$N462&gt;=0,$O462="",$P462&lt;&gt;"",$Q462&lt;&gt;"",$R462="runner_monotonic_complete"),"ScorableComplete",IF(AND($A462&lt;&gt;"",$B462&lt;&gt;"",$C462&lt;&gt;"",$D462&lt;&gt;"",$E462&lt;&gt;"",$F462&lt;&gt;"",ISNUMBER($G462),$G462&gt;=1,OR($O462="insufficient_source_evidence",$O462="operational_failure"),$H462="",$J462="",$L462="",$N462="",$Q462&lt;&gt;"",$R462="runner_monotonic_not_scorable"),"NotScorable","Partial")))</x:f>
        <x:v>Pending</x:v>
      </x:c>
    </x:row>
    <x:row r="463">
      <x:c r="A463" s="44"/>
      <x:c r="B463" s="44"/>
      <x:c r="C463" s="44"/>
      <x:c r="D463" s="44"/>
      <x:c r="E463" s="44"/>
      <x:c r="F463" s="44"/>
      <x:c r="G463" s="44"/>
      <x:c r="H463" s="44"/>
      <x:c r="I463" s="44"/>
      <x:c r="J463" s="44"/>
      <x:c r="K463" s="44"/>
      <x:c r="L463" s="44"/>
      <x:c r="M463" s="44"/>
      <x:c r="N463" s="50"/>
      <x:c r="O463" s="44"/>
      <x:c r="P463" s="53"/>
      <x:c r="Q463" s="53"/>
      <x:c r="R463" s="44"/>
      <x:c r="S463" s="47" t="str">
        <x:f>IF(COUNTA($H463:$R463)=0,"Pending",IF(AND($A463&lt;&gt;"",$B463&lt;&gt;"",$C463&lt;&gt;"",$D463&lt;&gt;"",$E463&lt;&gt;"",$F463&lt;&gt;"",ISNUMBER($G463),$G463&gt;=1,ISNUMBER($H463),MOD($H463,1)=0,$H463&gt;=1,$H463&lt;=5,ISNUMBER($J463),MOD($J463,1)=0,$J463&gt;=1,$J463&lt;=5,ISNUMBER($L463),MOD($L463,1)=0,$L463&gt;=1,$L463&lt;=5,ISNUMBER($N463),$N463&gt;=0,$O463="",$P463&lt;&gt;"",$Q463&lt;&gt;"",$R463="runner_monotonic_complete"),"ScorableComplete",IF(AND($A463&lt;&gt;"",$B463&lt;&gt;"",$C463&lt;&gt;"",$D463&lt;&gt;"",$E463&lt;&gt;"",$F463&lt;&gt;"",ISNUMBER($G463),$G463&gt;=1,OR($O463="insufficient_source_evidence",$O463="operational_failure"),$H463="",$J463="",$L463="",$N463="",$Q463&lt;&gt;"",$R463="runner_monotonic_not_scorable"),"NotScorable","Partial")))</x:f>
        <x:v>Pending</x:v>
      </x:c>
    </x:row>
    <x:row r="464">
      <x:c r="A464" s="44"/>
      <x:c r="B464" s="44"/>
      <x:c r="C464" s="44"/>
      <x:c r="D464" s="44"/>
      <x:c r="E464" s="44"/>
      <x:c r="F464" s="44"/>
      <x:c r="G464" s="44"/>
      <x:c r="H464" s="44"/>
      <x:c r="I464" s="44"/>
      <x:c r="J464" s="44"/>
      <x:c r="K464" s="44"/>
      <x:c r="L464" s="44"/>
      <x:c r="M464" s="44"/>
      <x:c r="N464" s="50"/>
      <x:c r="O464" s="44"/>
      <x:c r="P464" s="53"/>
      <x:c r="Q464" s="53"/>
      <x:c r="R464" s="44"/>
      <x:c r="S464" s="47" t="str">
        <x:f>IF(COUNTA($H464:$R464)=0,"Pending",IF(AND($A464&lt;&gt;"",$B464&lt;&gt;"",$C464&lt;&gt;"",$D464&lt;&gt;"",$E464&lt;&gt;"",$F464&lt;&gt;"",ISNUMBER($G464),$G464&gt;=1,ISNUMBER($H464),MOD($H464,1)=0,$H464&gt;=1,$H464&lt;=5,ISNUMBER($J464),MOD($J464,1)=0,$J464&gt;=1,$J464&lt;=5,ISNUMBER($L464),MOD($L464,1)=0,$L464&gt;=1,$L464&lt;=5,ISNUMBER($N464),$N464&gt;=0,$O464="",$P464&lt;&gt;"",$Q464&lt;&gt;"",$R464="runner_monotonic_complete"),"ScorableComplete",IF(AND($A464&lt;&gt;"",$B464&lt;&gt;"",$C464&lt;&gt;"",$D464&lt;&gt;"",$E464&lt;&gt;"",$F464&lt;&gt;"",ISNUMBER($G464),$G464&gt;=1,OR($O464="insufficient_source_evidence",$O464="operational_failure"),$H464="",$J464="",$L464="",$N464="",$Q464&lt;&gt;"",$R464="runner_monotonic_not_scorable"),"NotScorable","Partial")))</x:f>
        <x:v>Pending</x:v>
      </x:c>
    </x:row>
    <x:row r="465">
      <x:c r="A465" s="44"/>
      <x:c r="B465" s="44"/>
      <x:c r="C465" s="44"/>
      <x:c r="D465" s="44"/>
      <x:c r="E465" s="44"/>
      <x:c r="F465" s="44"/>
      <x:c r="G465" s="44"/>
      <x:c r="H465" s="44"/>
      <x:c r="I465" s="44"/>
      <x:c r="J465" s="44"/>
      <x:c r="K465" s="44"/>
      <x:c r="L465" s="44"/>
      <x:c r="M465" s="44"/>
      <x:c r="N465" s="50"/>
      <x:c r="O465" s="44"/>
      <x:c r="P465" s="53"/>
      <x:c r="Q465" s="53"/>
      <x:c r="R465" s="44"/>
      <x:c r="S465" s="47" t="str">
        <x:f>IF(COUNTA($H465:$R465)=0,"Pending",IF(AND($A465&lt;&gt;"",$B465&lt;&gt;"",$C465&lt;&gt;"",$D465&lt;&gt;"",$E465&lt;&gt;"",$F465&lt;&gt;"",ISNUMBER($G465),$G465&gt;=1,ISNUMBER($H465),MOD($H465,1)=0,$H465&gt;=1,$H465&lt;=5,ISNUMBER($J465),MOD($J465,1)=0,$J465&gt;=1,$J465&lt;=5,ISNUMBER($L465),MOD($L465,1)=0,$L465&gt;=1,$L465&lt;=5,ISNUMBER($N465),$N465&gt;=0,$O465="",$P465&lt;&gt;"",$Q465&lt;&gt;"",$R465="runner_monotonic_complete"),"ScorableComplete",IF(AND($A465&lt;&gt;"",$B465&lt;&gt;"",$C465&lt;&gt;"",$D465&lt;&gt;"",$E465&lt;&gt;"",$F465&lt;&gt;"",ISNUMBER($G465),$G465&gt;=1,OR($O465="insufficient_source_evidence",$O465="operational_failure"),$H465="",$J465="",$L465="",$N465="",$Q465&lt;&gt;"",$R465="runner_monotonic_not_scorable"),"NotScorable","Partial")))</x:f>
        <x:v>Pending</x:v>
      </x:c>
    </x:row>
    <x:row r="466">
      <x:c r="A466" s="44"/>
      <x:c r="B466" s="44"/>
      <x:c r="C466" s="44"/>
      <x:c r="D466" s="44"/>
      <x:c r="E466" s="44"/>
      <x:c r="F466" s="44"/>
      <x:c r="G466" s="44"/>
      <x:c r="H466" s="44"/>
      <x:c r="I466" s="44"/>
      <x:c r="J466" s="44"/>
      <x:c r="K466" s="44"/>
      <x:c r="L466" s="44"/>
      <x:c r="M466" s="44"/>
      <x:c r="N466" s="50"/>
      <x:c r="O466" s="44"/>
      <x:c r="P466" s="53"/>
      <x:c r="Q466" s="53"/>
      <x:c r="R466" s="44"/>
      <x:c r="S466" s="47" t="str">
        <x:f>IF(COUNTA($H466:$R466)=0,"Pending",IF(AND($A466&lt;&gt;"",$B466&lt;&gt;"",$C466&lt;&gt;"",$D466&lt;&gt;"",$E466&lt;&gt;"",$F466&lt;&gt;"",ISNUMBER($G466),$G466&gt;=1,ISNUMBER($H466),MOD($H466,1)=0,$H466&gt;=1,$H466&lt;=5,ISNUMBER($J466),MOD($J466,1)=0,$J466&gt;=1,$J466&lt;=5,ISNUMBER($L466),MOD($L466,1)=0,$L466&gt;=1,$L466&lt;=5,ISNUMBER($N466),$N466&gt;=0,$O466="",$P466&lt;&gt;"",$Q466&lt;&gt;"",$R466="runner_monotonic_complete"),"ScorableComplete",IF(AND($A466&lt;&gt;"",$B466&lt;&gt;"",$C466&lt;&gt;"",$D466&lt;&gt;"",$E466&lt;&gt;"",$F466&lt;&gt;"",ISNUMBER($G466),$G466&gt;=1,OR($O466="insufficient_source_evidence",$O466="operational_failure"),$H466="",$J466="",$L466="",$N466="",$Q466&lt;&gt;"",$R466="runner_monotonic_not_scorable"),"NotScorable","Partial")))</x:f>
        <x:v>Pending</x:v>
      </x:c>
    </x:row>
    <x:row r="467">
      <x:c r="A467" s="44"/>
      <x:c r="B467" s="44"/>
      <x:c r="C467" s="44"/>
      <x:c r="D467" s="44"/>
      <x:c r="E467" s="44"/>
      <x:c r="F467" s="44"/>
      <x:c r="G467" s="44"/>
      <x:c r="H467" s="44"/>
      <x:c r="I467" s="44"/>
      <x:c r="J467" s="44"/>
      <x:c r="K467" s="44"/>
      <x:c r="L467" s="44"/>
      <x:c r="M467" s="44"/>
      <x:c r="N467" s="50"/>
      <x:c r="O467" s="44"/>
      <x:c r="P467" s="53"/>
      <x:c r="Q467" s="53"/>
      <x:c r="R467" s="44"/>
      <x:c r="S467" s="47" t="str">
        <x:f>IF(COUNTA($H467:$R467)=0,"Pending",IF(AND($A467&lt;&gt;"",$B467&lt;&gt;"",$C467&lt;&gt;"",$D467&lt;&gt;"",$E467&lt;&gt;"",$F467&lt;&gt;"",ISNUMBER($G467),$G467&gt;=1,ISNUMBER($H467),MOD($H467,1)=0,$H467&gt;=1,$H467&lt;=5,ISNUMBER($J467),MOD($J467,1)=0,$J467&gt;=1,$J467&lt;=5,ISNUMBER($L467),MOD($L467,1)=0,$L467&gt;=1,$L467&lt;=5,ISNUMBER($N467),$N467&gt;=0,$O467="",$P467&lt;&gt;"",$Q467&lt;&gt;"",$R467="runner_monotonic_complete"),"ScorableComplete",IF(AND($A467&lt;&gt;"",$B467&lt;&gt;"",$C467&lt;&gt;"",$D467&lt;&gt;"",$E467&lt;&gt;"",$F467&lt;&gt;"",ISNUMBER($G467),$G467&gt;=1,OR($O467="insufficient_source_evidence",$O467="operational_failure"),$H467="",$J467="",$L467="",$N467="",$Q467&lt;&gt;"",$R467="runner_monotonic_not_scorable"),"NotScorable","Partial")))</x:f>
        <x:v>Pending</x:v>
      </x:c>
    </x:row>
    <x:row r="468">
      <x:c r="A468" s="44"/>
      <x:c r="B468" s="44"/>
      <x:c r="C468" s="44"/>
      <x:c r="D468" s="44"/>
      <x:c r="E468" s="44"/>
      <x:c r="F468" s="44"/>
      <x:c r="G468" s="44"/>
      <x:c r="H468" s="44"/>
      <x:c r="I468" s="44"/>
      <x:c r="J468" s="44"/>
      <x:c r="K468" s="44"/>
      <x:c r="L468" s="44"/>
      <x:c r="M468" s="44"/>
      <x:c r="N468" s="50"/>
      <x:c r="O468" s="44"/>
      <x:c r="P468" s="53"/>
      <x:c r="Q468" s="53"/>
      <x:c r="R468" s="44"/>
      <x:c r="S468" s="47" t="str">
        <x:f>IF(COUNTA($H468:$R468)=0,"Pending",IF(AND($A468&lt;&gt;"",$B468&lt;&gt;"",$C468&lt;&gt;"",$D468&lt;&gt;"",$E468&lt;&gt;"",$F468&lt;&gt;"",ISNUMBER($G468),$G468&gt;=1,ISNUMBER($H468),MOD($H468,1)=0,$H468&gt;=1,$H468&lt;=5,ISNUMBER($J468),MOD($J468,1)=0,$J468&gt;=1,$J468&lt;=5,ISNUMBER($L468),MOD($L468,1)=0,$L468&gt;=1,$L468&lt;=5,ISNUMBER($N468),$N468&gt;=0,$O468="",$P468&lt;&gt;"",$Q468&lt;&gt;"",$R468="runner_monotonic_complete"),"ScorableComplete",IF(AND($A468&lt;&gt;"",$B468&lt;&gt;"",$C468&lt;&gt;"",$D468&lt;&gt;"",$E468&lt;&gt;"",$F468&lt;&gt;"",ISNUMBER($G468),$G468&gt;=1,OR($O468="insufficient_source_evidence",$O468="operational_failure"),$H468="",$J468="",$L468="",$N468="",$Q468&lt;&gt;"",$R468="runner_monotonic_not_scorable"),"NotScorable","Partial")))</x:f>
        <x:v>Pending</x:v>
      </x:c>
    </x:row>
    <x:row r="469">
      <x:c r="A469" s="44"/>
      <x:c r="B469" s="44"/>
      <x:c r="C469" s="44"/>
      <x:c r="D469" s="44"/>
      <x:c r="E469" s="44"/>
      <x:c r="F469" s="44"/>
      <x:c r="G469" s="44"/>
      <x:c r="H469" s="44"/>
      <x:c r="I469" s="44"/>
      <x:c r="J469" s="44"/>
      <x:c r="K469" s="44"/>
      <x:c r="L469" s="44"/>
      <x:c r="M469" s="44"/>
      <x:c r="N469" s="50"/>
      <x:c r="O469" s="44"/>
      <x:c r="P469" s="53"/>
      <x:c r="Q469" s="53"/>
      <x:c r="R469" s="44"/>
      <x:c r="S469" s="47" t="str">
        <x:f>IF(COUNTA($H469:$R469)=0,"Pending",IF(AND($A469&lt;&gt;"",$B469&lt;&gt;"",$C469&lt;&gt;"",$D469&lt;&gt;"",$E469&lt;&gt;"",$F469&lt;&gt;"",ISNUMBER($G469),$G469&gt;=1,ISNUMBER($H469),MOD($H469,1)=0,$H469&gt;=1,$H469&lt;=5,ISNUMBER($J469),MOD($J469,1)=0,$J469&gt;=1,$J469&lt;=5,ISNUMBER($L469),MOD($L469,1)=0,$L469&gt;=1,$L469&lt;=5,ISNUMBER($N469),$N469&gt;=0,$O469="",$P469&lt;&gt;"",$Q469&lt;&gt;"",$R469="runner_monotonic_complete"),"ScorableComplete",IF(AND($A469&lt;&gt;"",$B469&lt;&gt;"",$C469&lt;&gt;"",$D469&lt;&gt;"",$E469&lt;&gt;"",$F469&lt;&gt;"",ISNUMBER($G469),$G469&gt;=1,OR($O469="insufficient_source_evidence",$O469="operational_failure"),$H469="",$J469="",$L469="",$N469="",$Q469&lt;&gt;"",$R469="runner_monotonic_not_scorable"),"NotScorable","Partial")))</x:f>
        <x:v>Pending</x:v>
      </x:c>
    </x:row>
    <x:row r="470">
      <x:c r="A470" s="44"/>
      <x:c r="B470" s="44"/>
      <x:c r="C470" s="44"/>
      <x:c r="D470" s="44"/>
      <x:c r="E470" s="44"/>
      <x:c r="F470" s="44"/>
      <x:c r="G470" s="44"/>
      <x:c r="H470" s="44"/>
      <x:c r="I470" s="44"/>
      <x:c r="J470" s="44"/>
      <x:c r="K470" s="44"/>
      <x:c r="L470" s="44"/>
      <x:c r="M470" s="44"/>
      <x:c r="N470" s="50"/>
      <x:c r="O470" s="44"/>
      <x:c r="P470" s="53"/>
      <x:c r="Q470" s="53"/>
      <x:c r="R470" s="44"/>
      <x:c r="S470" s="47" t="str">
        <x:f>IF(COUNTA($H470:$R470)=0,"Pending",IF(AND($A470&lt;&gt;"",$B470&lt;&gt;"",$C470&lt;&gt;"",$D470&lt;&gt;"",$E470&lt;&gt;"",$F470&lt;&gt;"",ISNUMBER($G470),$G470&gt;=1,ISNUMBER($H470),MOD($H470,1)=0,$H470&gt;=1,$H470&lt;=5,ISNUMBER($J470),MOD($J470,1)=0,$J470&gt;=1,$J470&lt;=5,ISNUMBER($L470),MOD($L470,1)=0,$L470&gt;=1,$L470&lt;=5,ISNUMBER($N470),$N470&gt;=0,$O470="",$P470&lt;&gt;"",$Q470&lt;&gt;"",$R470="runner_monotonic_complete"),"ScorableComplete",IF(AND($A470&lt;&gt;"",$B470&lt;&gt;"",$C470&lt;&gt;"",$D470&lt;&gt;"",$E470&lt;&gt;"",$F470&lt;&gt;"",ISNUMBER($G470),$G470&gt;=1,OR($O470="insufficient_source_evidence",$O470="operational_failure"),$H470="",$J470="",$L470="",$N470="",$Q470&lt;&gt;"",$R470="runner_monotonic_not_scorable"),"NotScorable","Partial")))</x:f>
        <x:v>Pending</x:v>
      </x:c>
    </x:row>
    <x:row r="471">
      <x:c r="A471" s="44"/>
      <x:c r="B471" s="44"/>
      <x:c r="C471" s="44"/>
      <x:c r="D471" s="44"/>
      <x:c r="E471" s="44"/>
      <x:c r="F471" s="44"/>
      <x:c r="G471" s="44"/>
      <x:c r="H471" s="44"/>
      <x:c r="I471" s="44"/>
      <x:c r="J471" s="44"/>
      <x:c r="K471" s="44"/>
      <x:c r="L471" s="44"/>
      <x:c r="M471" s="44"/>
      <x:c r="N471" s="50"/>
      <x:c r="O471" s="44"/>
      <x:c r="P471" s="53"/>
      <x:c r="Q471" s="53"/>
      <x:c r="R471" s="44"/>
      <x:c r="S471" s="47" t="str">
        <x:f>IF(COUNTA($H471:$R471)=0,"Pending",IF(AND($A471&lt;&gt;"",$B471&lt;&gt;"",$C471&lt;&gt;"",$D471&lt;&gt;"",$E471&lt;&gt;"",$F471&lt;&gt;"",ISNUMBER($G471),$G471&gt;=1,ISNUMBER($H471),MOD($H471,1)=0,$H471&gt;=1,$H471&lt;=5,ISNUMBER($J471),MOD($J471,1)=0,$J471&gt;=1,$J471&lt;=5,ISNUMBER($L471),MOD($L471,1)=0,$L471&gt;=1,$L471&lt;=5,ISNUMBER($N471),$N471&gt;=0,$O471="",$P471&lt;&gt;"",$Q471&lt;&gt;"",$R471="runner_monotonic_complete"),"ScorableComplete",IF(AND($A471&lt;&gt;"",$B471&lt;&gt;"",$C471&lt;&gt;"",$D471&lt;&gt;"",$E471&lt;&gt;"",$F471&lt;&gt;"",ISNUMBER($G471),$G471&gt;=1,OR($O471="insufficient_source_evidence",$O471="operational_failure"),$H471="",$J471="",$L471="",$N471="",$Q471&lt;&gt;"",$R471="runner_monotonic_not_scorable"),"NotScorable","Partial")))</x:f>
        <x:v>Pending</x:v>
      </x:c>
    </x:row>
    <x:row r="472">
      <x:c r="A472" s="44"/>
      <x:c r="B472" s="44"/>
      <x:c r="C472" s="44"/>
      <x:c r="D472" s="44"/>
      <x:c r="E472" s="44"/>
      <x:c r="F472" s="44"/>
      <x:c r="G472" s="44"/>
      <x:c r="H472" s="44"/>
      <x:c r="I472" s="44"/>
      <x:c r="J472" s="44"/>
      <x:c r="K472" s="44"/>
      <x:c r="L472" s="44"/>
      <x:c r="M472" s="44"/>
      <x:c r="N472" s="50"/>
      <x:c r="O472" s="44"/>
      <x:c r="P472" s="53"/>
      <x:c r="Q472" s="53"/>
      <x:c r="R472" s="44"/>
      <x:c r="S472" s="47" t="str">
        <x:f>IF(COUNTA($H472:$R472)=0,"Pending",IF(AND($A472&lt;&gt;"",$B472&lt;&gt;"",$C472&lt;&gt;"",$D472&lt;&gt;"",$E472&lt;&gt;"",$F472&lt;&gt;"",ISNUMBER($G472),$G472&gt;=1,ISNUMBER($H472),MOD($H472,1)=0,$H472&gt;=1,$H472&lt;=5,ISNUMBER($J472),MOD($J472,1)=0,$J472&gt;=1,$J472&lt;=5,ISNUMBER($L472),MOD($L472,1)=0,$L472&gt;=1,$L472&lt;=5,ISNUMBER($N472),$N472&gt;=0,$O472="",$P472&lt;&gt;"",$Q472&lt;&gt;"",$R472="runner_monotonic_complete"),"ScorableComplete",IF(AND($A472&lt;&gt;"",$B472&lt;&gt;"",$C472&lt;&gt;"",$D472&lt;&gt;"",$E472&lt;&gt;"",$F472&lt;&gt;"",ISNUMBER($G472),$G472&gt;=1,OR($O472="insufficient_source_evidence",$O472="operational_failure"),$H472="",$J472="",$L472="",$N472="",$Q472&lt;&gt;"",$R472="runner_monotonic_not_scorable"),"NotScorable","Partial")))</x:f>
        <x:v>Pending</x:v>
      </x:c>
    </x:row>
    <x:row r="473">
      <x:c r="A473" s="44"/>
      <x:c r="B473" s="44"/>
      <x:c r="C473" s="44"/>
      <x:c r="D473" s="44"/>
      <x:c r="E473" s="44"/>
      <x:c r="F473" s="44"/>
      <x:c r="G473" s="44"/>
      <x:c r="H473" s="44"/>
      <x:c r="I473" s="44"/>
      <x:c r="J473" s="44"/>
      <x:c r="K473" s="44"/>
      <x:c r="L473" s="44"/>
      <x:c r="M473" s="44"/>
      <x:c r="N473" s="50"/>
      <x:c r="O473" s="44"/>
      <x:c r="P473" s="53"/>
      <x:c r="Q473" s="53"/>
      <x:c r="R473" s="44"/>
      <x:c r="S473" s="47" t="str">
        <x:f>IF(COUNTA($H473:$R473)=0,"Pending",IF(AND($A473&lt;&gt;"",$B473&lt;&gt;"",$C473&lt;&gt;"",$D473&lt;&gt;"",$E473&lt;&gt;"",$F473&lt;&gt;"",ISNUMBER($G473),$G473&gt;=1,ISNUMBER($H473),MOD($H473,1)=0,$H473&gt;=1,$H473&lt;=5,ISNUMBER($J473),MOD($J473,1)=0,$J473&gt;=1,$J473&lt;=5,ISNUMBER($L473),MOD($L473,1)=0,$L473&gt;=1,$L473&lt;=5,ISNUMBER($N473),$N473&gt;=0,$O473="",$P473&lt;&gt;"",$Q473&lt;&gt;"",$R473="runner_monotonic_complete"),"ScorableComplete",IF(AND($A473&lt;&gt;"",$B473&lt;&gt;"",$C473&lt;&gt;"",$D473&lt;&gt;"",$E473&lt;&gt;"",$F473&lt;&gt;"",ISNUMBER($G473),$G473&gt;=1,OR($O473="insufficient_source_evidence",$O473="operational_failure"),$H473="",$J473="",$L473="",$N473="",$Q473&lt;&gt;"",$R473="runner_monotonic_not_scorable"),"NotScorable","Partial")))</x:f>
        <x:v>Pending</x:v>
      </x:c>
    </x:row>
    <x:row r="474">
      <x:c r="A474" s="44"/>
      <x:c r="B474" s="44"/>
      <x:c r="C474" s="44"/>
      <x:c r="D474" s="44"/>
      <x:c r="E474" s="44"/>
      <x:c r="F474" s="44"/>
      <x:c r="G474" s="44"/>
      <x:c r="H474" s="44"/>
      <x:c r="I474" s="44"/>
      <x:c r="J474" s="44"/>
      <x:c r="K474" s="44"/>
      <x:c r="L474" s="44"/>
      <x:c r="M474" s="44"/>
      <x:c r="N474" s="50"/>
      <x:c r="O474" s="44"/>
      <x:c r="P474" s="53"/>
      <x:c r="Q474" s="53"/>
      <x:c r="R474" s="44"/>
      <x:c r="S474" s="47" t="str">
        <x:f>IF(COUNTA($H474:$R474)=0,"Pending",IF(AND($A474&lt;&gt;"",$B474&lt;&gt;"",$C474&lt;&gt;"",$D474&lt;&gt;"",$E474&lt;&gt;"",$F474&lt;&gt;"",ISNUMBER($G474),$G474&gt;=1,ISNUMBER($H474),MOD($H474,1)=0,$H474&gt;=1,$H474&lt;=5,ISNUMBER($J474),MOD($J474,1)=0,$J474&gt;=1,$J474&lt;=5,ISNUMBER($L474),MOD($L474,1)=0,$L474&gt;=1,$L474&lt;=5,ISNUMBER($N474),$N474&gt;=0,$O474="",$P474&lt;&gt;"",$Q474&lt;&gt;"",$R474="runner_monotonic_complete"),"ScorableComplete",IF(AND($A474&lt;&gt;"",$B474&lt;&gt;"",$C474&lt;&gt;"",$D474&lt;&gt;"",$E474&lt;&gt;"",$F474&lt;&gt;"",ISNUMBER($G474),$G474&gt;=1,OR($O474="insufficient_source_evidence",$O474="operational_failure"),$H474="",$J474="",$L474="",$N474="",$Q474&lt;&gt;"",$R474="runner_monotonic_not_scorable"),"NotScorable","Partial")))</x:f>
        <x:v>Pending</x:v>
      </x:c>
    </x:row>
    <x:row r="475">
      <x:c r="A475" s="44"/>
      <x:c r="B475" s="44"/>
      <x:c r="C475" s="44"/>
      <x:c r="D475" s="44"/>
      <x:c r="E475" s="44"/>
      <x:c r="F475" s="44"/>
      <x:c r="G475" s="44"/>
      <x:c r="H475" s="44"/>
      <x:c r="I475" s="44"/>
      <x:c r="J475" s="44"/>
      <x:c r="K475" s="44"/>
      <x:c r="L475" s="44"/>
      <x:c r="M475" s="44"/>
      <x:c r="N475" s="50"/>
      <x:c r="O475" s="44"/>
      <x:c r="P475" s="53"/>
      <x:c r="Q475" s="53"/>
      <x:c r="R475" s="44"/>
      <x:c r="S475" s="47" t="str">
        <x:f>IF(COUNTA($H475:$R475)=0,"Pending",IF(AND($A475&lt;&gt;"",$B475&lt;&gt;"",$C475&lt;&gt;"",$D475&lt;&gt;"",$E475&lt;&gt;"",$F475&lt;&gt;"",ISNUMBER($G475),$G475&gt;=1,ISNUMBER($H475),MOD($H475,1)=0,$H475&gt;=1,$H475&lt;=5,ISNUMBER($J475),MOD($J475,1)=0,$J475&gt;=1,$J475&lt;=5,ISNUMBER($L475),MOD($L475,1)=0,$L475&gt;=1,$L475&lt;=5,ISNUMBER($N475),$N475&gt;=0,$O475="",$P475&lt;&gt;"",$Q475&lt;&gt;"",$R475="runner_monotonic_complete"),"ScorableComplete",IF(AND($A475&lt;&gt;"",$B475&lt;&gt;"",$C475&lt;&gt;"",$D475&lt;&gt;"",$E475&lt;&gt;"",$F475&lt;&gt;"",ISNUMBER($G475),$G475&gt;=1,OR($O475="insufficient_source_evidence",$O475="operational_failure"),$H475="",$J475="",$L475="",$N475="",$Q475&lt;&gt;"",$R475="runner_monotonic_not_scorable"),"NotScorable","Partial")))</x:f>
        <x:v>Pending</x:v>
      </x:c>
    </x:row>
    <x:row r="476">
      <x:c r="A476" s="44"/>
      <x:c r="B476" s="44"/>
      <x:c r="C476" s="44"/>
      <x:c r="D476" s="44"/>
      <x:c r="E476" s="44"/>
      <x:c r="F476" s="44"/>
      <x:c r="G476" s="44"/>
      <x:c r="H476" s="44"/>
      <x:c r="I476" s="44"/>
      <x:c r="J476" s="44"/>
      <x:c r="K476" s="44"/>
      <x:c r="L476" s="44"/>
      <x:c r="M476" s="44"/>
      <x:c r="N476" s="50"/>
      <x:c r="O476" s="44"/>
      <x:c r="P476" s="53"/>
      <x:c r="Q476" s="53"/>
      <x:c r="R476" s="44"/>
      <x:c r="S476" s="47" t="str">
        <x:f>IF(COUNTA($H476:$R476)=0,"Pending",IF(AND($A476&lt;&gt;"",$B476&lt;&gt;"",$C476&lt;&gt;"",$D476&lt;&gt;"",$E476&lt;&gt;"",$F476&lt;&gt;"",ISNUMBER($G476),$G476&gt;=1,ISNUMBER($H476),MOD($H476,1)=0,$H476&gt;=1,$H476&lt;=5,ISNUMBER($J476),MOD($J476,1)=0,$J476&gt;=1,$J476&lt;=5,ISNUMBER($L476),MOD($L476,1)=0,$L476&gt;=1,$L476&lt;=5,ISNUMBER($N476),$N476&gt;=0,$O476="",$P476&lt;&gt;"",$Q476&lt;&gt;"",$R476="runner_monotonic_complete"),"ScorableComplete",IF(AND($A476&lt;&gt;"",$B476&lt;&gt;"",$C476&lt;&gt;"",$D476&lt;&gt;"",$E476&lt;&gt;"",$F476&lt;&gt;"",ISNUMBER($G476),$G476&gt;=1,OR($O476="insufficient_source_evidence",$O476="operational_failure"),$H476="",$J476="",$L476="",$N476="",$Q476&lt;&gt;"",$R476="runner_monotonic_not_scorable"),"NotScorable","Partial")))</x:f>
        <x:v>Pending</x:v>
      </x:c>
    </x:row>
    <x:row r="477">
      <x:c r="A477" s="44"/>
      <x:c r="B477" s="44"/>
      <x:c r="C477" s="44"/>
      <x:c r="D477" s="44"/>
      <x:c r="E477" s="44"/>
      <x:c r="F477" s="44"/>
      <x:c r="G477" s="44"/>
      <x:c r="H477" s="44"/>
      <x:c r="I477" s="44"/>
      <x:c r="J477" s="44"/>
      <x:c r="K477" s="44"/>
      <x:c r="L477" s="44"/>
      <x:c r="M477" s="44"/>
      <x:c r="N477" s="50"/>
      <x:c r="O477" s="44"/>
      <x:c r="P477" s="53"/>
      <x:c r="Q477" s="53"/>
      <x:c r="R477" s="44"/>
      <x:c r="S477" s="47" t="str">
        <x:f>IF(COUNTA($H477:$R477)=0,"Pending",IF(AND($A477&lt;&gt;"",$B477&lt;&gt;"",$C477&lt;&gt;"",$D477&lt;&gt;"",$E477&lt;&gt;"",$F477&lt;&gt;"",ISNUMBER($G477),$G477&gt;=1,ISNUMBER($H477),MOD($H477,1)=0,$H477&gt;=1,$H477&lt;=5,ISNUMBER($J477),MOD($J477,1)=0,$J477&gt;=1,$J477&lt;=5,ISNUMBER($L477),MOD($L477,1)=0,$L477&gt;=1,$L477&lt;=5,ISNUMBER($N477),$N477&gt;=0,$O477="",$P477&lt;&gt;"",$Q477&lt;&gt;"",$R477="runner_monotonic_complete"),"ScorableComplete",IF(AND($A477&lt;&gt;"",$B477&lt;&gt;"",$C477&lt;&gt;"",$D477&lt;&gt;"",$E477&lt;&gt;"",$F477&lt;&gt;"",ISNUMBER($G477),$G477&gt;=1,OR($O477="insufficient_source_evidence",$O477="operational_failure"),$H477="",$J477="",$L477="",$N477="",$Q477&lt;&gt;"",$R477="runner_monotonic_not_scorable"),"NotScorable","Partial")))</x:f>
        <x:v>Pending</x:v>
      </x:c>
    </x:row>
    <x:row r="478">
      <x:c r="A478" s="44"/>
      <x:c r="B478" s="44"/>
      <x:c r="C478" s="44"/>
      <x:c r="D478" s="44"/>
      <x:c r="E478" s="44"/>
      <x:c r="F478" s="44"/>
      <x:c r="G478" s="44"/>
      <x:c r="H478" s="44"/>
      <x:c r="I478" s="44"/>
      <x:c r="J478" s="44"/>
      <x:c r="K478" s="44"/>
      <x:c r="L478" s="44"/>
      <x:c r="M478" s="44"/>
      <x:c r="N478" s="50"/>
      <x:c r="O478" s="44"/>
      <x:c r="P478" s="53"/>
      <x:c r="Q478" s="53"/>
      <x:c r="R478" s="44"/>
      <x:c r="S478" s="47" t="str">
        <x:f>IF(COUNTA($H478:$R478)=0,"Pending",IF(AND($A478&lt;&gt;"",$B478&lt;&gt;"",$C478&lt;&gt;"",$D478&lt;&gt;"",$E478&lt;&gt;"",$F478&lt;&gt;"",ISNUMBER($G478),$G478&gt;=1,ISNUMBER($H478),MOD($H478,1)=0,$H478&gt;=1,$H478&lt;=5,ISNUMBER($J478),MOD($J478,1)=0,$J478&gt;=1,$J478&lt;=5,ISNUMBER($L478),MOD($L478,1)=0,$L478&gt;=1,$L478&lt;=5,ISNUMBER($N478),$N478&gt;=0,$O478="",$P478&lt;&gt;"",$Q478&lt;&gt;"",$R478="runner_monotonic_complete"),"ScorableComplete",IF(AND($A478&lt;&gt;"",$B478&lt;&gt;"",$C478&lt;&gt;"",$D478&lt;&gt;"",$E478&lt;&gt;"",$F478&lt;&gt;"",ISNUMBER($G478),$G478&gt;=1,OR($O478="insufficient_source_evidence",$O478="operational_failure"),$H478="",$J478="",$L478="",$N478="",$Q478&lt;&gt;"",$R478="runner_monotonic_not_scorable"),"NotScorable","Partial")))</x:f>
        <x:v>Pending</x:v>
      </x:c>
    </x:row>
    <x:row r="479">
      <x:c r="A479" s="44"/>
      <x:c r="B479" s="44"/>
      <x:c r="C479" s="44"/>
      <x:c r="D479" s="44"/>
      <x:c r="E479" s="44"/>
      <x:c r="F479" s="44"/>
      <x:c r="G479" s="44"/>
      <x:c r="H479" s="44"/>
      <x:c r="I479" s="44"/>
      <x:c r="J479" s="44"/>
      <x:c r="K479" s="44"/>
      <x:c r="L479" s="44"/>
      <x:c r="M479" s="44"/>
      <x:c r="N479" s="50"/>
      <x:c r="O479" s="44"/>
      <x:c r="P479" s="53"/>
      <x:c r="Q479" s="53"/>
      <x:c r="R479" s="44"/>
      <x:c r="S479" s="47" t="str">
        <x:f>IF(COUNTA($H479:$R479)=0,"Pending",IF(AND($A479&lt;&gt;"",$B479&lt;&gt;"",$C479&lt;&gt;"",$D479&lt;&gt;"",$E479&lt;&gt;"",$F479&lt;&gt;"",ISNUMBER($G479),$G479&gt;=1,ISNUMBER($H479),MOD($H479,1)=0,$H479&gt;=1,$H479&lt;=5,ISNUMBER($J479),MOD($J479,1)=0,$J479&gt;=1,$J479&lt;=5,ISNUMBER($L479),MOD($L479,1)=0,$L479&gt;=1,$L479&lt;=5,ISNUMBER($N479),$N479&gt;=0,$O479="",$P479&lt;&gt;"",$Q479&lt;&gt;"",$R479="runner_monotonic_complete"),"ScorableComplete",IF(AND($A479&lt;&gt;"",$B479&lt;&gt;"",$C479&lt;&gt;"",$D479&lt;&gt;"",$E479&lt;&gt;"",$F479&lt;&gt;"",ISNUMBER($G479),$G479&gt;=1,OR($O479="insufficient_source_evidence",$O479="operational_failure"),$H479="",$J479="",$L479="",$N479="",$Q479&lt;&gt;"",$R479="runner_monotonic_not_scorable"),"NotScorable","Partial")))</x:f>
        <x:v>Pending</x:v>
      </x:c>
    </x:row>
    <x:row r="480">
      <x:c r="A480" s="44"/>
      <x:c r="B480" s="44"/>
      <x:c r="C480" s="44"/>
      <x:c r="D480" s="44"/>
      <x:c r="E480" s="44"/>
      <x:c r="F480" s="44"/>
      <x:c r="G480" s="44"/>
      <x:c r="H480" s="44"/>
      <x:c r="I480" s="44"/>
      <x:c r="J480" s="44"/>
      <x:c r="K480" s="44"/>
      <x:c r="L480" s="44"/>
      <x:c r="M480" s="44"/>
      <x:c r="N480" s="50"/>
      <x:c r="O480" s="44"/>
      <x:c r="P480" s="53"/>
      <x:c r="Q480" s="53"/>
      <x:c r="R480" s="44"/>
      <x:c r="S480" s="47" t="str">
        <x:f>IF(COUNTA($H480:$R480)=0,"Pending",IF(AND($A480&lt;&gt;"",$B480&lt;&gt;"",$C480&lt;&gt;"",$D480&lt;&gt;"",$E480&lt;&gt;"",$F480&lt;&gt;"",ISNUMBER($G480),$G480&gt;=1,ISNUMBER($H480),MOD($H480,1)=0,$H480&gt;=1,$H480&lt;=5,ISNUMBER($J480),MOD($J480,1)=0,$J480&gt;=1,$J480&lt;=5,ISNUMBER($L480),MOD($L480,1)=0,$L480&gt;=1,$L480&lt;=5,ISNUMBER($N480),$N480&gt;=0,$O480="",$P480&lt;&gt;"",$Q480&lt;&gt;"",$R480="runner_monotonic_complete"),"ScorableComplete",IF(AND($A480&lt;&gt;"",$B480&lt;&gt;"",$C480&lt;&gt;"",$D480&lt;&gt;"",$E480&lt;&gt;"",$F480&lt;&gt;"",ISNUMBER($G480),$G480&gt;=1,OR($O480="insufficient_source_evidence",$O480="operational_failure"),$H480="",$J480="",$L480="",$N480="",$Q480&lt;&gt;"",$R480="runner_monotonic_not_scorable"),"NotScorable","Partial")))</x:f>
        <x:v>Pending</x:v>
      </x:c>
    </x:row>
    <x:row r="481">
      <x:c r="A481" s="44"/>
      <x:c r="B481" s="44"/>
      <x:c r="C481" s="44"/>
      <x:c r="D481" s="44"/>
      <x:c r="E481" s="44"/>
      <x:c r="F481" s="44"/>
      <x:c r="G481" s="44"/>
      <x:c r="H481" s="44"/>
      <x:c r="I481" s="44"/>
      <x:c r="J481" s="44"/>
      <x:c r="K481" s="44"/>
      <x:c r="L481" s="44"/>
      <x:c r="M481" s="44"/>
      <x:c r="N481" s="50"/>
      <x:c r="O481" s="44"/>
      <x:c r="P481" s="53"/>
      <x:c r="Q481" s="53"/>
      <x:c r="R481" s="44"/>
      <x:c r="S481" s="47" t="str">
        <x:f>IF(COUNTA($H481:$R481)=0,"Pending",IF(AND($A481&lt;&gt;"",$B481&lt;&gt;"",$C481&lt;&gt;"",$D481&lt;&gt;"",$E481&lt;&gt;"",$F481&lt;&gt;"",ISNUMBER($G481),$G481&gt;=1,ISNUMBER($H481),MOD($H481,1)=0,$H481&gt;=1,$H481&lt;=5,ISNUMBER($J481),MOD($J481,1)=0,$J481&gt;=1,$J481&lt;=5,ISNUMBER($L481),MOD($L481,1)=0,$L481&gt;=1,$L481&lt;=5,ISNUMBER($N481),$N481&gt;=0,$O481="",$P481&lt;&gt;"",$Q481&lt;&gt;"",$R481="runner_monotonic_complete"),"ScorableComplete",IF(AND($A481&lt;&gt;"",$B481&lt;&gt;"",$C481&lt;&gt;"",$D481&lt;&gt;"",$E481&lt;&gt;"",$F481&lt;&gt;"",ISNUMBER($G481),$G481&gt;=1,OR($O481="insufficient_source_evidence",$O481="operational_failure"),$H481="",$J481="",$L481="",$N481="",$Q481&lt;&gt;"",$R481="runner_monotonic_not_scorable"),"NotScorable","Partial")))</x:f>
        <x:v>Pending</x:v>
      </x:c>
    </x:row>
    <x:row r="482">
      <x:c r="A482" s="44"/>
      <x:c r="B482" s="44"/>
      <x:c r="C482" s="44"/>
      <x:c r="D482" s="44"/>
      <x:c r="E482" s="44"/>
      <x:c r="F482" s="44"/>
      <x:c r="G482" s="44"/>
      <x:c r="H482" s="44"/>
      <x:c r="I482" s="44"/>
      <x:c r="J482" s="44"/>
      <x:c r="K482" s="44"/>
      <x:c r="L482" s="44"/>
      <x:c r="M482" s="44"/>
      <x:c r="N482" s="50"/>
      <x:c r="O482" s="44"/>
      <x:c r="P482" s="53"/>
      <x:c r="Q482" s="53"/>
      <x:c r="R482" s="44"/>
      <x:c r="S482" s="47" t="str">
        <x:f>IF(COUNTA($H482:$R482)=0,"Pending",IF(AND($A482&lt;&gt;"",$B482&lt;&gt;"",$C482&lt;&gt;"",$D482&lt;&gt;"",$E482&lt;&gt;"",$F482&lt;&gt;"",ISNUMBER($G482),$G482&gt;=1,ISNUMBER($H482),MOD($H482,1)=0,$H482&gt;=1,$H482&lt;=5,ISNUMBER($J482),MOD($J482,1)=0,$J482&gt;=1,$J482&lt;=5,ISNUMBER($L482),MOD($L482,1)=0,$L482&gt;=1,$L482&lt;=5,ISNUMBER($N482),$N482&gt;=0,$O482="",$P482&lt;&gt;"",$Q482&lt;&gt;"",$R482="runner_monotonic_complete"),"ScorableComplete",IF(AND($A482&lt;&gt;"",$B482&lt;&gt;"",$C482&lt;&gt;"",$D482&lt;&gt;"",$E482&lt;&gt;"",$F482&lt;&gt;"",ISNUMBER($G482),$G482&gt;=1,OR($O482="insufficient_source_evidence",$O482="operational_failure"),$H482="",$J482="",$L482="",$N482="",$Q482&lt;&gt;"",$R482="runner_monotonic_not_scorable"),"NotScorable","Partial")))</x:f>
        <x:v>Pending</x:v>
      </x:c>
    </x:row>
    <x:row r="483">
      <x:c r="A483" s="44"/>
      <x:c r="B483" s="44"/>
      <x:c r="C483" s="44"/>
      <x:c r="D483" s="44"/>
      <x:c r="E483" s="44"/>
      <x:c r="F483" s="44"/>
      <x:c r="G483" s="44"/>
      <x:c r="H483" s="44"/>
      <x:c r="I483" s="44"/>
      <x:c r="J483" s="44"/>
      <x:c r="K483" s="44"/>
      <x:c r="L483" s="44"/>
      <x:c r="M483" s="44"/>
      <x:c r="N483" s="50"/>
      <x:c r="O483" s="44"/>
      <x:c r="P483" s="53"/>
      <x:c r="Q483" s="53"/>
      <x:c r="R483" s="44"/>
      <x:c r="S483" s="47" t="str">
        <x:f>IF(COUNTA($H483:$R483)=0,"Pending",IF(AND($A483&lt;&gt;"",$B483&lt;&gt;"",$C483&lt;&gt;"",$D483&lt;&gt;"",$E483&lt;&gt;"",$F483&lt;&gt;"",ISNUMBER($G483),$G483&gt;=1,ISNUMBER($H483),MOD($H483,1)=0,$H483&gt;=1,$H483&lt;=5,ISNUMBER($J483),MOD($J483,1)=0,$J483&gt;=1,$J483&lt;=5,ISNUMBER($L483),MOD($L483,1)=0,$L483&gt;=1,$L483&lt;=5,ISNUMBER($N483),$N483&gt;=0,$O483="",$P483&lt;&gt;"",$Q483&lt;&gt;"",$R483="runner_monotonic_complete"),"ScorableComplete",IF(AND($A483&lt;&gt;"",$B483&lt;&gt;"",$C483&lt;&gt;"",$D483&lt;&gt;"",$E483&lt;&gt;"",$F483&lt;&gt;"",ISNUMBER($G483),$G483&gt;=1,OR($O483="insufficient_source_evidence",$O483="operational_failure"),$H483="",$J483="",$L483="",$N483="",$Q483&lt;&gt;"",$R483="runner_monotonic_not_scorable"),"NotScorable","Partial")))</x:f>
        <x:v>Pending</x:v>
      </x:c>
    </x:row>
    <x:row r="484">
      <x:c r="A484" s="44"/>
      <x:c r="B484" s="44"/>
      <x:c r="C484" s="44"/>
      <x:c r="D484" s="44"/>
      <x:c r="E484" s="44"/>
      <x:c r="F484" s="44"/>
      <x:c r="G484" s="44"/>
      <x:c r="H484" s="44"/>
      <x:c r="I484" s="44"/>
      <x:c r="J484" s="44"/>
      <x:c r="K484" s="44"/>
      <x:c r="L484" s="44"/>
      <x:c r="M484" s="44"/>
      <x:c r="N484" s="50"/>
      <x:c r="O484" s="44"/>
      <x:c r="P484" s="53"/>
      <x:c r="Q484" s="53"/>
      <x:c r="R484" s="44"/>
      <x:c r="S484" s="47" t="str">
        <x:f>IF(COUNTA($H484:$R484)=0,"Pending",IF(AND($A484&lt;&gt;"",$B484&lt;&gt;"",$C484&lt;&gt;"",$D484&lt;&gt;"",$E484&lt;&gt;"",$F484&lt;&gt;"",ISNUMBER($G484),$G484&gt;=1,ISNUMBER($H484),MOD($H484,1)=0,$H484&gt;=1,$H484&lt;=5,ISNUMBER($J484),MOD($J484,1)=0,$J484&gt;=1,$J484&lt;=5,ISNUMBER($L484),MOD($L484,1)=0,$L484&gt;=1,$L484&lt;=5,ISNUMBER($N484),$N484&gt;=0,$O484="",$P484&lt;&gt;"",$Q484&lt;&gt;"",$R484="runner_monotonic_complete"),"ScorableComplete",IF(AND($A484&lt;&gt;"",$B484&lt;&gt;"",$C484&lt;&gt;"",$D484&lt;&gt;"",$E484&lt;&gt;"",$F484&lt;&gt;"",ISNUMBER($G484),$G484&gt;=1,OR($O484="insufficient_source_evidence",$O484="operational_failure"),$H484="",$J484="",$L484="",$N484="",$Q484&lt;&gt;"",$R484="runner_monotonic_not_scorable"),"NotScorable","Partial")))</x:f>
        <x:v>Pending</x:v>
      </x:c>
    </x:row>
    <x:row r="485">
      <x:c r="A485" s="44"/>
      <x:c r="B485" s="44"/>
      <x:c r="C485" s="44"/>
      <x:c r="D485" s="44"/>
      <x:c r="E485" s="44"/>
      <x:c r="F485" s="44"/>
      <x:c r="G485" s="44"/>
      <x:c r="H485" s="44"/>
      <x:c r="I485" s="44"/>
      <x:c r="J485" s="44"/>
      <x:c r="K485" s="44"/>
      <x:c r="L485" s="44"/>
      <x:c r="M485" s="44"/>
      <x:c r="N485" s="50"/>
      <x:c r="O485" s="44"/>
      <x:c r="P485" s="53"/>
      <x:c r="Q485" s="53"/>
      <x:c r="R485" s="44"/>
      <x:c r="S485" s="47" t="str">
        <x:f>IF(COUNTA($H485:$R485)=0,"Pending",IF(AND($A485&lt;&gt;"",$B485&lt;&gt;"",$C485&lt;&gt;"",$D485&lt;&gt;"",$E485&lt;&gt;"",$F485&lt;&gt;"",ISNUMBER($G485),$G485&gt;=1,ISNUMBER($H485),MOD($H485,1)=0,$H485&gt;=1,$H485&lt;=5,ISNUMBER($J485),MOD($J485,1)=0,$J485&gt;=1,$J485&lt;=5,ISNUMBER($L485),MOD($L485,1)=0,$L485&gt;=1,$L485&lt;=5,ISNUMBER($N485),$N485&gt;=0,$O485="",$P485&lt;&gt;"",$Q485&lt;&gt;"",$R485="runner_monotonic_complete"),"ScorableComplete",IF(AND($A485&lt;&gt;"",$B485&lt;&gt;"",$C485&lt;&gt;"",$D485&lt;&gt;"",$E485&lt;&gt;"",$F485&lt;&gt;"",ISNUMBER($G485),$G485&gt;=1,OR($O485="insufficient_source_evidence",$O485="operational_failure"),$H485="",$J485="",$L485="",$N485="",$Q485&lt;&gt;"",$R485="runner_monotonic_not_scorable"),"NotScorable","Partial")))</x:f>
        <x:v>Pending</x:v>
      </x:c>
    </x:row>
    <x:row r="486">
      <x:c r="A486" s="44"/>
      <x:c r="B486" s="44"/>
      <x:c r="C486" s="44"/>
      <x:c r="D486" s="44"/>
      <x:c r="E486" s="44"/>
      <x:c r="F486" s="44"/>
      <x:c r="G486" s="44"/>
      <x:c r="H486" s="44"/>
      <x:c r="I486" s="44"/>
      <x:c r="J486" s="44"/>
      <x:c r="K486" s="44"/>
      <x:c r="L486" s="44"/>
      <x:c r="M486" s="44"/>
      <x:c r="N486" s="50"/>
      <x:c r="O486" s="44"/>
      <x:c r="P486" s="53"/>
      <x:c r="Q486" s="53"/>
      <x:c r="R486" s="44"/>
      <x:c r="S486" s="47" t="str">
        <x:f>IF(COUNTA($H486:$R486)=0,"Pending",IF(AND($A486&lt;&gt;"",$B486&lt;&gt;"",$C486&lt;&gt;"",$D486&lt;&gt;"",$E486&lt;&gt;"",$F486&lt;&gt;"",ISNUMBER($G486),$G486&gt;=1,ISNUMBER($H486),MOD($H486,1)=0,$H486&gt;=1,$H486&lt;=5,ISNUMBER($J486),MOD($J486,1)=0,$J486&gt;=1,$J486&lt;=5,ISNUMBER($L486),MOD($L486,1)=0,$L486&gt;=1,$L486&lt;=5,ISNUMBER($N486),$N486&gt;=0,$O486="",$P486&lt;&gt;"",$Q486&lt;&gt;"",$R486="runner_monotonic_complete"),"ScorableComplete",IF(AND($A486&lt;&gt;"",$B486&lt;&gt;"",$C486&lt;&gt;"",$D486&lt;&gt;"",$E486&lt;&gt;"",$F486&lt;&gt;"",ISNUMBER($G486),$G486&gt;=1,OR($O486="insufficient_source_evidence",$O486="operational_failure"),$H486="",$J486="",$L486="",$N486="",$Q486&lt;&gt;"",$R486="runner_monotonic_not_scorable"),"NotScorable","Partial")))</x:f>
        <x:v>Pending</x:v>
      </x:c>
    </x:row>
    <x:row r="487">
      <x:c r="A487" s="44"/>
      <x:c r="B487" s="44"/>
      <x:c r="C487" s="44"/>
      <x:c r="D487" s="44"/>
      <x:c r="E487" s="44"/>
      <x:c r="F487" s="44"/>
      <x:c r="G487" s="44"/>
      <x:c r="H487" s="44"/>
      <x:c r="I487" s="44"/>
      <x:c r="J487" s="44"/>
      <x:c r="K487" s="44"/>
      <x:c r="L487" s="44"/>
      <x:c r="M487" s="44"/>
      <x:c r="N487" s="50"/>
      <x:c r="O487" s="44"/>
      <x:c r="P487" s="53"/>
      <x:c r="Q487" s="53"/>
      <x:c r="R487" s="44"/>
      <x:c r="S487" s="47" t="str">
        <x:f>IF(COUNTA($H487:$R487)=0,"Pending",IF(AND($A487&lt;&gt;"",$B487&lt;&gt;"",$C487&lt;&gt;"",$D487&lt;&gt;"",$E487&lt;&gt;"",$F487&lt;&gt;"",ISNUMBER($G487),$G487&gt;=1,ISNUMBER($H487),MOD($H487,1)=0,$H487&gt;=1,$H487&lt;=5,ISNUMBER($J487),MOD($J487,1)=0,$J487&gt;=1,$J487&lt;=5,ISNUMBER($L487),MOD($L487,1)=0,$L487&gt;=1,$L487&lt;=5,ISNUMBER($N487),$N487&gt;=0,$O487="",$P487&lt;&gt;"",$Q487&lt;&gt;"",$R487="runner_monotonic_complete"),"ScorableComplete",IF(AND($A487&lt;&gt;"",$B487&lt;&gt;"",$C487&lt;&gt;"",$D487&lt;&gt;"",$E487&lt;&gt;"",$F487&lt;&gt;"",ISNUMBER($G487),$G487&gt;=1,OR($O487="insufficient_source_evidence",$O487="operational_failure"),$H487="",$J487="",$L487="",$N487="",$Q487&lt;&gt;"",$R487="runner_monotonic_not_scorable"),"NotScorable","Partial")))</x:f>
        <x:v>Pending</x:v>
      </x:c>
    </x:row>
    <x:row r="488">
      <x:c r="A488" s="44"/>
      <x:c r="B488" s="44"/>
      <x:c r="C488" s="44"/>
      <x:c r="D488" s="44"/>
      <x:c r="E488" s="44"/>
      <x:c r="F488" s="44"/>
      <x:c r="G488" s="44"/>
      <x:c r="H488" s="44"/>
      <x:c r="I488" s="44"/>
      <x:c r="J488" s="44"/>
      <x:c r="K488" s="44"/>
      <x:c r="L488" s="44"/>
      <x:c r="M488" s="44"/>
      <x:c r="N488" s="50"/>
      <x:c r="O488" s="44"/>
      <x:c r="P488" s="53"/>
      <x:c r="Q488" s="53"/>
      <x:c r="R488" s="44"/>
      <x:c r="S488" s="47" t="str">
        <x:f>IF(COUNTA($H488:$R488)=0,"Pending",IF(AND($A488&lt;&gt;"",$B488&lt;&gt;"",$C488&lt;&gt;"",$D488&lt;&gt;"",$E488&lt;&gt;"",$F488&lt;&gt;"",ISNUMBER($G488),$G488&gt;=1,ISNUMBER($H488),MOD($H488,1)=0,$H488&gt;=1,$H488&lt;=5,ISNUMBER($J488),MOD($J488,1)=0,$J488&gt;=1,$J488&lt;=5,ISNUMBER($L488),MOD($L488,1)=0,$L488&gt;=1,$L488&lt;=5,ISNUMBER($N488),$N488&gt;=0,$O488="",$P488&lt;&gt;"",$Q488&lt;&gt;"",$R488="runner_monotonic_complete"),"ScorableComplete",IF(AND($A488&lt;&gt;"",$B488&lt;&gt;"",$C488&lt;&gt;"",$D488&lt;&gt;"",$E488&lt;&gt;"",$F488&lt;&gt;"",ISNUMBER($G488),$G488&gt;=1,OR($O488="insufficient_source_evidence",$O488="operational_failure"),$H488="",$J488="",$L488="",$N488="",$Q488&lt;&gt;"",$R488="runner_monotonic_not_scorable"),"NotScorable","Partial")))</x:f>
        <x:v>Pending</x:v>
      </x:c>
    </x:row>
    <x:row r="489">
      <x:c r="A489" s="44"/>
      <x:c r="B489" s="44"/>
      <x:c r="C489" s="44"/>
      <x:c r="D489" s="44"/>
      <x:c r="E489" s="44"/>
      <x:c r="F489" s="44"/>
      <x:c r="G489" s="44"/>
      <x:c r="H489" s="44"/>
      <x:c r="I489" s="44"/>
      <x:c r="J489" s="44"/>
      <x:c r="K489" s="44"/>
      <x:c r="L489" s="44"/>
      <x:c r="M489" s="44"/>
      <x:c r="N489" s="50"/>
      <x:c r="O489" s="44"/>
      <x:c r="P489" s="53"/>
      <x:c r="Q489" s="53"/>
      <x:c r="R489" s="44"/>
      <x:c r="S489" s="47" t="str">
        <x:f>IF(COUNTA($H489:$R489)=0,"Pending",IF(AND($A489&lt;&gt;"",$B489&lt;&gt;"",$C489&lt;&gt;"",$D489&lt;&gt;"",$E489&lt;&gt;"",$F489&lt;&gt;"",ISNUMBER($G489),$G489&gt;=1,ISNUMBER($H489),MOD($H489,1)=0,$H489&gt;=1,$H489&lt;=5,ISNUMBER($J489),MOD($J489,1)=0,$J489&gt;=1,$J489&lt;=5,ISNUMBER($L489),MOD($L489,1)=0,$L489&gt;=1,$L489&lt;=5,ISNUMBER($N489),$N489&gt;=0,$O489="",$P489&lt;&gt;"",$Q489&lt;&gt;"",$R489="runner_monotonic_complete"),"ScorableComplete",IF(AND($A489&lt;&gt;"",$B489&lt;&gt;"",$C489&lt;&gt;"",$D489&lt;&gt;"",$E489&lt;&gt;"",$F489&lt;&gt;"",ISNUMBER($G489),$G489&gt;=1,OR($O489="insufficient_source_evidence",$O489="operational_failure"),$H489="",$J489="",$L489="",$N489="",$Q489&lt;&gt;"",$R489="runner_monotonic_not_scorable"),"NotScorable","Partial")))</x:f>
        <x:v>Pending</x:v>
      </x:c>
    </x:row>
    <x:row r="490">
      <x:c r="A490" s="44"/>
      <x:c r="B490" s="44"/>
      <x:c r="C490" s="44"/>
      <x:c r="D490" s="44"/>
      <x:c r="E490" s="44"/>
      <x:c r="F490" s="44"/>
      <x:c r="G490" s="44"/>
      <x:c r="H490" s="44"/>
      <x:c r="I490" s="44"/>
      <x:c r="J490" s="44"/>
      <x:c r="K490" s="44"/>
      <x:c r="L490" s="44"/>
      <x:c r="M490" s="44"/>
      <x:c r="N490" s="50"/>
      <x:c r="O490" s="44"/>
      <x:c r="P490" s="53"/>
      <x:c r="Q490" s="53"/>
      <x:c r="R490" s="44"/>
      <x:c r="S490" s="47" t="str">
        <x:f>IF(COUNTA($H490:$R490)=0,"Pending",IF(AND($A490&lt;&gt;"",$B490&lt;&gt;"",$C490&lt;&gt;"",$D490&lt;&gt;"",$E490&lt;&gt;"",$F490&lt;&gt;"",ISNUMBER($G490),$G490&gt;=1,ISNUMBER($H490),MOD($H490,1)=0,$H490&gt;=1,$H490&lt;=5,ISNUMBER($J490),MOD($J490,1)=0,$J490&gt;=1,$J490&lt;=5,ISNUMBER($L490),MOD($L490,1)=0,$L490&gt;=1,$L490&lt;=5,ISNUMBER($N490),$N490&gt;=0,$O490="",$P490&lt;&gt;"",$Q490&lt;&gt;"",$R490="runner_monotonic_complete"),"ScorableComplete",IF(AND($A490&lt;&gt;"",$B490&lt;&gt;"",$C490&lt;&gt;"",$D490&lt;&gt;"",$E490&lt;&gt;"",$F490&lt;&gt;"",ISNUMBER($G490),$G490&gt;=1,OR($O490="insufficient_source_evidence",$O490="operational_failure"),$H490="",$J490="",$L490="",$N490="",$Q490&lt;&gt;"",$R490="runner_monotonic_not_scorable"),"NotScorable","Partial")))</x:f>
        <x:v>Pending</x:v>
      </x:c>
    </x:row>
    <x:row r="491">
      <x:c r="A491" s="44"/>
      <x:c r="B491" s="44"/>
      <x:c r="C491" s="44"/>
      <x:c r="D491" s="44"/>
      <x:c r="E491" s="44"/>
      <x:c r="F491" s="44"/>
      <x:c r="G491" s="44"/>
      <x:c r="H491" s="44"/>
      <x:c r="I491" s="44"/>
      <x:c r="J491" s="44"/>
      <x:c r="K491" s="44"/>
      <x:c r="L491" s="44"/>
      <x:c r="M491" s="44"/>
      <x:c r="N491" s="50"/>
      <x:c r="O491" s="44"/>
      <x:c r="P491" s="53"/>
      <x:c r="Q491" s="53"/>
      <x:c r="R491" s="44"/>
      <x:c r="S491" s="47" t="str">
        <x:f>IF(COUNTA($H491:$R491)=0,"Pending",IF(AND($A491&lt;&gt;"",$B491&lt;&gt;"",$C491&lt;&gt;"",$D491&lt;&gt;"",$E491&lt;&gt;"",$F491&lt;&gt;"",ISNUMBER($G491),$G491&gt;=1,ISNUMBER($H491),MOD($H491,1)=0,$H491&gt;=1,$H491&lt;=5,ISNUMBER($J491),MOD($J491,1)=0,$J491&gt;=1,$J491&lt;=5,ISNUMBER($L491),MOD($L491,1)=0,$L491&gt;=1,$L491&lt;=5,ISNUMBER($N491),$N491&gt;=0,$O491="",$P491&lt;&gt;"",$Q491&lt;&gt;"",$R491="runner_monotonic_complete"),"ScorableComplete",IF(AND($A491&lt;&gt;"",$B491&lt;&gt;"",$C491&lt;&gt;"",$D491&lt;&gt;"",$E491&lt;&gt;"",$F491&lt;&gt;"",ISNUMBER($G491),$G491&gt;=1,OR($O491="insufficient_source_evidence",$O491="operational_failure"),$H491="",$J491="",$L491="",$N491="",$Q491&lt;&gt;"",$R491="runner_monotonic_not_scorable"),"NotScorable","Partial")))</x:f>
        <x:v>Pending</x:v>
      </x:c>
    </x:row>
    <x:row r="492">
      <x:c r="A492" s="44"/>
      <x:c r="B492" s="44"/>
      <x:c r="C492" s="44"/>
      <x:c r="D492" s="44"/>
      <x:c r="E492" s="44"/>
      <x:c r="F492" s="44"/>
      <x:c r="G492" s="44"/>
      <x:c r="H492" s="44"/>
      <x:c r="I492" s="44"/>
      <x:c r="J492" s="44"/>
      <x:c r="K492" s="44"/>
      <x:c r="L492" s="44"/>
      <x:c r="M492" s="44"/>
      <x:c r="N492" s="50"/>
      <x:c r="O492" s="44"/>
      <x:c r="P492" s="53"/>
      <x:c r="Q492" s="53"/>
      <x:c r="R492" s="44"/>
      <x:c r="S492" s="47" t="str">
        <x:f>IF(COUNTA($H492:$R492)=0,"Pending",IF(AND($A492&lt;&gt;"",$B492&lt;&gt;"",$C492&lt;&gt;"",$D492&lt;&gt;"",$E492&lt;&gt;"",$F492&lt;&gt;"",ISNUMBER($G492),$G492&gt;=1,ISNUMBER($H492),MOD($H492,1)=0,$H492&gt;=1,$H492&lt;=5,ISNUMBER($J492),MOD($J492,1)=0,$J492&gt;=1,$J492&lt;=5,ISNUMBER($L492),MOD($L492,1)=0,$L492&gt;=1,$L492&lt;=5,ISNUMBER($N492),$N492&gt;=0,$O492="",$P492&lt;&gt;"",$Q492&lt;&gt;"",$R492="runner_monotonic_complete"),"ScorableComplete",IF(AND($A492&lt;&gt;"",$B492&lt;&gt;"",$C492&lt;&gt;"",$D492&lt;&gt;"",$E492&lt;&gt;"",$F492&lt;&gt;"",ISNUMBER($G492),$G492&gt;=1,OR($O492="insufficient_source_evidence",$O492="operational_failure"),$H492="",$J492="",$L492="",$N492="",$Q492&lt;&gt;"",$R492="runner_monotonic_not_scorable"),"NotScorable","Partial")))</x:f>
        <x:v>Pending</x:v>
      </x:c>
    </x:row>
    <x:row r="493">
      <x:c r="A493" s="44"/>
      <x:c r="B493" s="44"/>
      <x:c r="C493" s="44"/>
      <x:c r="D493" s="44"/>
      <x:c r="E493" s="44"/>
      <x:c r="F493" s="44"/>
      <x:c r="G493" s="44"/>
      <x:c r="H493" s="44"/>
      <x:c r="I493" s="44"/>
      <x:c r="J493" s="44"/>
      <x:c r="K493" s="44"/>
      <x:c r="L493" s="44"/>
      <x:c r="M493" s="44"/>
      <x:c r="N493" s="50"/>
      <x:c r="O493" s="44"/>
      <x:c r="P493" s="53"/>
      <x:c r="Q493" s="53"/>
      <x:c r="R493" s="44"/>
      <x:c r="S493" s="47" t="str">
        <x:f>IF(COUNTA($H493:$R493)=0,"Pending",IF(AND($A493&lt;&gt;"",$B493&lt;&gt;"",$C493&lt;&gt;"",$D493&lt;&gt;"",$E493&lt;&gt;"",$F493&lt;&gt;"",ISNUMBER($G493),$G493&gt;=1,ISNUMBER($H493),MOD($H493,1)=0,$H493&gt;=1,$H493&lt;=5,ISNUMBER($J493),MOD($J493,1)=0,$J493&gt;=1,$J493&lt;=5,ISNUMBER($L493),MOD($L493,1)=0,$L493&gt;=1,$L493&lt;=5,ISNUMBER($N493),$N493&gt;=0,$O493="",$P493&lt;&gt;"",$Q493&lt;&gt;"",$R493="runner_monotonic_complete"),"ScorableComplete",IF(AND($A493&lt;&gt;"",$B493&lt;&gt;"",$C493&lt;&gt;"",$D493&lt;&gt;"",$E493&lt;&gt;"",$F493&lt;&gt;"",ISNUMBER($G493),$G493&gt;=1,OR($O493="insufficient_source_evidence",$O493="operational_failure"),$H493="",$J493="",$L493="",$N493="",$Q493&lt;&gt;"",$R493="runner_monotonic_not_scorable"),"NotScorable","Partial")))</x:f>
        <x:v>Pending</x:v>
      </x:c>
    </x:row>
    <x:row r="494">
      <x:c r="A494" s="44"/>
      <x:c r="B494" s="44"/>
      <x:c r="C494" s="44"/>
      <x:c r="D494" s="44"/>
      <x:c r="E494" s="44"/>
      <x:c r="F494" s="44"/>
      <x:c r="G494" s="44"/>
      <x:c r="H494" s="44"/>
      <x:c r="I494" s="44"/>
      <x:c r="J494" s="44"/>
      <x:c r="K494" s="44"/>
      <x:c r="L494" s="44"/>
      <x:c r="M494" s="44"/>
      <x:c r="N494" s="50"/>
      <x:c r="O494" s="44"/>
      <x:c r="P494" s="53"/>
      <x:c r="Q494" s="53"/>
      <x:c r="R494" s="44"/>
      <x:c r="S494" s="47" t="str">
        <x:f>IF(COUNTA($H494:$R494)=0,"Pending",IF(AND($A494&lt;&gt;"",$B494&lt;&gt;"",$C494&lt;&gt;"",$D494&lt;&gt;"",$E494&lt;&gt;"",$F494&lt;&gt;"",ISNUMBER($G494),$G494&gt;=1,ISNUMBER($H494),MOD($H494,1)=0,$H494&gt;=1,$H494&lt;=5,ISNUMBER($J494),MOD($J494,1)=0,$J494&gt;=1,$J494&lt;=5,ISNUMBER($L494),MOD($L494,1)=0,$L494&gt;=1,$L494&lt;=5,ISNUMBER($N494),$N494&gt;=0,$O494="",$P494&lt;&gt;"",$Q494&lt;&gt;"",$R494="runner_monotonic_complete"),"ScorableComplete",IF(AND($A494&lt;&gt;"",$B494&lt;&gt;"",$C494&lt;&gt;"",$D494&lt;&gt;"",$E494&lt;&gt;"",$F494&lt;&gt;"",ISNUMBER($G494),$G494&gt;=1,OR($O494="insufficient_source_evidence",$O494="operational_failure"),$H494="",$J494="",$L494="",$N494="",$Q494&lt;&gt;"",$R494="runner_monotonic_not_scorable"),"NotScorable","Partial")))</x:f>
        <x:v>Pending</x:v>
      </x:c>
    </x:row>
    <x:row r="495">
      <x:c r="A495" s="44"/>
      <x:c r="B495" s="44"/>
      <x:c r="C495" s="44"/>
      <x:c r="D495" s="44"/>
      <x:c r="E495" s="44"/>
      <x:c r="F495" s="44"/>
      <x:c r="G495" s="44"/>
      <x:c r="H495" s="44"/>
      <x:c r="I495" s="44"/>
      <x:c r="J495" s="44"/>
      <x:c r="K495" s="44"/>
      <x:c r="L495" s="44"/>
      <x:c r="M495" s="44"/>
      <x:c r="N495" s="50"/>
      <x:c r="O495" s="44"/>
      <x:c r="P495" s="53"/>
      <x:c r="Q495" s="53"/>
      <x:c r="R495" s="44"/>
      <x:c r="S495" s="47" t="str">
        <x:f>IF(COUNTA($H495:$R495)=0,"Pending",IF(AND($A495&lt;&gt;"",$B495&lt;&gt;"",$C495&lt;&gt;"",$D495&lt;&gt;"",$E495&lt;&gt;"",$F495&lt;&gt;"",ISNUMBER($G495),$G495&gt;=1,ISNUMBER($H495),MOD($H495,1)=0,$H495&gt;=1,$H495&lt;=5,ISNUMBER($J495),MOD($J495,1)=0,$J495&gt;=1,$J495&lt;=5,ISNUMBER($L495),MOD($L495,1)=0,$L495&gt;=1,$L495&lt;=5,ISNUMBER($N495),$N495&gt;=0,$O495="",$P495&lt;&gt;"",$Q495&lt;&gt;"",$R495="runner_monotonic_complete"),"ScorableComplete",IF(AND($A495&lt;&gt;"",$B495&lt;&gt;"",$C495&lt;&gt;"",$D495&lt;&gt;"",$E495&lt;&gt;"",$F495&lt;&gt;"",ISNUMBER($G495),$G495&gt;=1,OR($O495="insufficient_source_evidence",$O495="operational_failure"),$H495="",$J495="",$L495="",$N495="",$Q495&lt;&gt;"",$R495="runner_monotonic_not_scorable"),"NotScorable","Partial")))</x:f>
        <x:v>Pending</x:v>
      </x:c>
    </x:row>
    <x:row r="496">
      <x:c r="A496" s="44"/>
      <x:c r="B496" s="44"/>
      <x:c r="C496" s="44"/>
      <x:c r="D496" s="44"/>
      <x:c r="E496" s="44"/>
      <x:c r="F496" s="44"/>
      <x:c r="G496" s="44"/>
      <x:c r="H496" s="44"/>
      <x:c r="I496" s="44"/>
      <x:c r="J496" s="44"/>
      <x:c r="K496" s="44"/>
      <x:c r="L496" s="44"/>
      <x:c r="M496" s="44"/>
      <x:c r="N496" s="50"/>
      <x:c r="O496" s="44"/>
      <x:c r="P496" s="53"/>
      <x:c r="Q496" s="53"/>
      <x:c r="R496" s="44"/>
      <x:c r="S496" s="47" t="str">
        <x:f>IF(COUNTA($H496:$R496)=0,"Pending",IF(AND($A496&lt;&gt;"",$B496&lt;&gt;"",$C496&lt;&gt;"",$D496&lt;&gt;"",$E496&lt;&gt;"",$F496&lt;&gt;"",ISNUMBER($G496),$G496&gt;=1,ISNUMBER($H496),MOD($H496,1)=0,$H496&gt;=1,$H496&lt;=5,ISNUMBER($J496),MOD($J496,1)=0,$J496&gt;=1,$J496&lt;=5,ISNUMBER($L496),MOD($L496,1)=0,$L496&gt;=1,$L496&lt;=5,ISNUMBER($N496),$N496&gt;=0,$O496="",$P496&lt;&gt;"",$Q496&lt;&gt;"",$R496="runner_monotonic_complete"),"ScorableComplete",IF(AND($A496&lt;&gt;"",$B496&lt;&gt;"",$C496&lt;&gt;"",$D496&lt;&gt;"",$E496&lt;&gt;"",$F496&lt;&gt;"",ISNUMBER($G496),$G496&gt;=1,OR($O496="insufficient_source_evidence",$O496="operational_failure"),$H496="",$J496="",$L496="",$N496="",$Q496&lt;&gt;"",$R496="runner_monotonic_not_scorable"),"NotScorable","Partial")))</x:f>
        <x:v>Pending</x:v>
      </x:c>
    </x:row>
    <x:row r="497">
      <x:c r="A497" s="44"/>
      <x:c r="B497" s="44"/>
      <x:c r="C497" s="44"/>
      <x:c r="D497" s="44"/>
      <x:c r="E497" s="44"/>
      <x:c r="F497" s="44"/>
      <x:c r="G497" s="44"/>
      <x:c r="H497" s="44"/>
      <x:c r="I497" s="44"/>
      <x:c r="J497" s="44"/>
      <x:c r="K497" s="44"/>
      <x:c r="L497" s="44"/>
      <x:c r="M497" s="44"/>
      <x:c r="N497" s="50"/>
      <x:c r="O497" s="44"/>
      <x:c r="P497" s="53"/>
      <x:c r="Q497" s="53"/>
      <x:c r="R497" s="44"/>
      <x:c r="S497" s="47" t="str">
        <x:f>IF(COUNTA($H497:$R497)=0,"Pending",IF(AND($A497&lt;&gt;"",$B497&lt;&gt;"",$C497&lt;&gt;"",$D497&lt;&gt;"",$E497&lt;&gt;"",$F497&lt;&gt;"",ISNUMBER($G497),$G497&gt;=1,ISNUMBER($H497),MOD($H497,1)=0,$H497&gt;=1,$H497&lt;=5,ISNUMBER($J497),MOD($J497,1)=0,$J497&gt;=1,$J497&lt;=5,ISNUMBER($L497),MOD($L497,1)=0,$L497&gt;=1,$L497&lt;=5,ISNUMBER($N497),$N497&gt;=0,$O497="",$P497&lt;&gt;"",$Q497&lt;&gt;"",$R497="runner_monotonic_complete"),"ScorableComplete",IF(AND($A497&lt;&gt;"",$B497&lt;&gt;"",$C497&lt;&gt;"",$D497&lt;&gt;"",$E497&lt;&gt;"",$F497&lt;&gt;"",ISNUMBER($G497),$G497&gt;=1,OR($O497="insufficient_source_evidence",$O497="operational_failure"),$H497="",$J497="",$L497="",$N497="",$Q497&lt;&gt;"",$R497="runner_monotonic_not_scorable"),"NotScorable","Partial")))</x:f>
        <x:v>Pending</x:v>
      </x:c>
    </x:row>
    <x:row r="498">
      <x:c r="A498" s="44"/>
      <x:c r="B498" s="44"/>
      <x:c r="C498" s="44"/>
      <x:c r="D498" s="44"/>
      <x:c r="E498" s="44"/>
      <x:c r="F498" s="44"/>
      <x:c r="G498" s="44"/>
      <x:c r="H498" s="44"/>
      <x:c r="I498" s="44"/>
      <x:c r="J498" s="44"/>
      <x:c r="K498" s="44"/>
      <x:c r="L498" s="44"/>
      <x:c r="M498" s="44"/>
      <x:c r="N498" s="50"/>
      <x:c r="O498" s="44"/>
      <x:c r="P498" s="53"/>
      <x:c r="Q498" s="53"/>
      <x:c r="R498" s="44"/>
      <x:c r="S498" s="47" t="str">
        <x:f>IF(COUNTA($H498:$R498)=0,"Pending",IF(AND($A498&lt;&gt;"",$B498&lt;&gt;"",$C498&lt;&gt;"",$D498&lt;&gt;"",$E498&lt;&gt;"",$F498&lt;&gt;"",ISNUMBER($G498),$G498&gt;=1,ISNUMBER($H498),MOD($H498,1)=0,$H498&gt;=1,$H498&lt;=5,ISNUMBER($J498),MOD($J498,1)=0,$J498&gt;=1,$J498&lt;=5,ISNUMBER($L498),MOD($L498,1)=0,$L498&gt;=1,$L498&lt;=5,ISNUMBER($N498),$N498&gt;=0,$O498="",$P498&lt;&gt;"",$Q498&lt;&gt;"",$R498="runner_monotonic_complete"),"ScorableComplete",IF(AND($A498&lt;&gt;"",$B498&lt;&gt;"",$C498&lt;&gt;"",$D498&lt;&gt;"",$E498&lt;&gt;"",$F498&lt;&gt;"",ISNUMBER($G498),$G498&gt;=1,OR($O498="insufficient_source_evidence",$O498="operational_failure"),$H498="",$J498="",$L498="",$N498="",$Q498&lt;&gt;"",$R498="runner_monotonic_not_scorable"),"NotScorable","Partial")))</x:f>
        <x:v>Pending</x:v>
      </x:c>
    </x:row>
    <x:row r="499">
      <x:c r="A499" s="44"/>
      <x:c r="B499" s="44"/>
      <x:c r="C499" s="44"/>
      <x:c r="D499" s="44"/>
      <x:c r="E499" s="44"/>
      <x:c r="F499" s="44"/>
      <x:c r="G499" s="44"/>
      <x:c r="H499" s="44"/>
      <x:c r="I499" s="44"/>
      <x:c r="J499" s="44"/>
      <x:c r="K499" s="44"/>
      <x:c r="L499" s="44"/>
      <x:c r="M499" s="44"/>
      <x:c r="N499" s="50"/>
      <x:c r="O499" s="44"/>
      <x:c r="P499" s="53"/>
      <x:c r="Q499" s="53"/>
      <x:c r="R499" s="44"/>
      <x:c r="S499" s="47" t="str">
        <x:f>IF(COUNTA($H499:$R499)=0,"Pending",IF(AND($A499&lt;&gt;"",$B499&lt;&gt;"",$C499&lt;&gt;"",$D499&lt;&gt;"",$E499&lt;&gt;"",$F499&lt;&gt;"",ISNUMBER($G499),$G499&gt;=1,ISNUMBER($H499),MOD($H499,1)=0,$H499&gt;=1,$H499&lt;=5,ISNUMBER($J499),MOD($J499,1)=0,$J499&gt;=1,$J499&lt;=5,ISNUMBER($L499),MOD($L499,1)=0,$L499&gt;=1,$L499&lt;=5,ISNUMBER($N499),$N499&gt;=0,$O499="",$P499&lt;&gt;"",$Q499&lt;&gt;"",$R499="runner_monotonic_complete"),"ScorableComplete",IF(AND($A499&lt;&gt;"",$B499&lt;&gt;"",$C499&lt;&gt;"",$D499&lt;&gt;"",$E499&lt;&gt;"",$F499&lt;&gt;"",ISNUMBER($G499),$G499&gt;=1,OR($O499="insufficient_source_evidence",$O499="operational_failure"),$H499="",$J499="",$L499="",$N499="",$Q499&lt;&gt;"",$R499="runner_monotonic_not_scorable"),"NotScorable","Partial")))</x:f>
        <x:v>Pending</x:v>
      </x:c>
    </x:row>
    <x:row r="500">
      <x:c r="A500" s="44"/>
      <x:c r="B500" s="44"/>
      <x:c r="C500" s="44"/>
      <x:c r="D500" s="44"/>
      <x:c r="E500" s="44"/>
      <x:c r="F500" s="44"/>
      <x:c r="G500" s="44"/>
      <x:c r="H500" s="44"/>
      <x:c r="I500" s="44"/>
      <x:c r="J500" s="44"/>
      <x:c r="K500" s="44"/>
      <x:c r="L500" s="44"/>
      <x:c r="M500" s="44"/>
      <x:c r="N500" s="50"/>
      <x:c r="O500" s="44"/>
      <x:c r="P500" s="53"/>
      <x:c r="Q500" s="53"/>
      <x:c r="R500" s="44"/>
      <x:c r="S500" s="47" t="str">
        <x:f>IF(COUNTA($H500:$R500)=0,"Pending",IF(AND($A500&lt;&gt;"",$B500&lt;&gt;"",$C500&lt;&gt;"",$D500&lt;&gt;"",$E500&lt;&gt;"",$F500&lt;&gt;"",ISNUMBER($G500),$G500&gt;=1,ISNUMBER($H500),MOD($H500,1)=0,$H500&gt;=1,$H500&lt;=5,ISNUMBER($J500),MOD($J500,1)=0,$J500&gt;=1,$J500&lt;=5,ISNUMBER($L500),MOD($L500,1)=0,$L500&gt;=1,$L500&lt;=5,ISNUMBER($N500),$N500&gt;=0,$O500="",$P500&lt;&gt;"",$Q500&lt;&gt;"",$R500="runner_monotonic_complete"),"ScorableComplete",IF(AND($A500&lt;&gt;"",$B500&lt;&gt;"",$C500&lt;&gt;"",$D500&lt;&gt;"",$E500&lt;&gt;"",$F500&lt;&gt;"",ISNUMBER($G500),$G500&gt;=1,OR($O500="insufficient_source_evidence",$O500="operational_failure"),$H500="",$J500="",$L500="",$N500="",$Q500&lt;&gt;"",$R500="runner_monotonic_not_scorable"),"NotScorable","Partial")))</x:f>
        <x:v>Pending</x:v>
      </x:c>
    </x:row>
    <x:row r="501">
      <x:c r="A501" s="45"/>
      <x:c r="B501" s="45"/>
      <x:c r="C501" s="45"/>
      <x:c r="D501" s="45"/>
      <x:c r="E501" s="45"/>
      <x:c r="F501" s="45"/>
      <x:c r="G501" s="45"/>
      <x:c r="H501" s="45"/>
      <x:c r="I501" s="45"/>
      <x:c r="J501" s="45"/>
      <x:c r="K501" s="45"/>
      <x:c r="L501" s="45"/>
      <x:c r="M501" s="45"/>
      <x:c r="N501" s="51"/>
      <x:c r="O501" s="45"/>
      <x:c r="P501" s="54"/>
      <x:c r="Q501" s="54"/>
      <x:c r="R501" s="45"/>
      <x:c r="S501" s="48" t="str">
        <x:f>IF(COUNTA($H501:$R501)=0,"Pending",IF(AND($A501&lt;&gt;"",$B501&lt;&gt;"",$C501&lt;&gt;"",$D501&lt;&gt;"",$E501&lt;&gt;"",$F501&lt;&gt;"",ISNUMBER($G501),$G501&gt;=1,ISNUMBER($H501),MOD($H501,1)=0,$H501&gt;=1,$H501&lt;=5,ISNUMBER($J501),MOD($J501,1)=0,$J501&gt;=1,$J501&lt;=5,ISNUMBER($L501),MOD($L501,1)=0,$L501&gt;=1,$L501&lt;=5,ISNUMBER($N501),$N501&gt;=0,$O501="",$P501&lt;&gt;"",$Q501&lt;&gt;"",$R501="runner_monotonic_complete"),"ScorableComplete",IF(AND($A501&lt;&gt;"",$B501&lt;&gt;"",$C501&lt;&gt;"",$D501&lt;&gt;"",$E501&lt;&gt;"",$F501&lt;&gt;"",ISNUMBER($G501),$G501&gt;=1,OR($O501="insufficient_source_evidence",$O501="operational_failure"),$H501="",$J501="",$L501="",$N501="",$Q501&lt;&gt;"",$R501="runner_monotonic_not_scorable"),"NotScorable","Partial")))</x:f>
        <x:v>Pending</x:v>
      </x:c>
    </x:row>
  </x:sheetData>
  <x:dataValidations count="6">
    <x:dataValidation type="whole" operator="between" sqref="H2:H501">
      <x:formula1>1</x:formula1>
      <x:formula2>5</x:formula2>
    </x:dataValidation>
    <x:dataValidation type="whole" operator="between" sqref="J2:J501">
      <x:formula1>1</x:formula1>
      <x:formula2>5</x:formula2>
    </x:dataValidation>
    <x:dataValidation type="whole" operator="between" sqref="L2:L501">
      <x:formula1>1</x:formula1>
      <x:formula2>5</x:formula2>
    </x:dataValidation>
    <x:dataValidation type="list" sqref="F2:F501">
      <x:formula1>"A,B"</x:formula1>
    </x:dataValidation>
    <x:dataValidation type="list" sqref="O2:O501">
      <x:formula1>"insufficient_source_evidence,operational_failure"</x:formula1>
    </x:dataValidation>
    <x:dataValidation type="list" sqref="R2:R501">
      <x:formula1>"runner_monotonic_complete,runner_monotonic_not_scorable"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1b2a2b70b5b4be6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>
      <x:c r="A1" s="4" t="str">
        <x:v>Coordinator Summary — ScorableComplete rows only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/>
    <x:row r="4" ht="15" hidden="0" customHeight="1">
      <x:c r="A4" s="64" t="str">
        <x:v>BlindedArmId</x:v>
      </x:c>
      <x:c r="B4" s="65" t="str">
        <x:v>CompletedRows</x:v>
      </x:c>
      <x:c r="C4" s="65" t="str">
        <x:v>RequirementMedian</x:v>
      </x:c>
      <x:c r="D4" s="65" t="str">
        <x:v>ProofPlanMedian</x:v>
      </x:c>
      <x:c r="E4" s="65" t="str">
        <x:v>WarningMedian</x:v>
      </x:c>
      <x:c r="F4" s="65" t="str">
        <x:v>DecisionTimeMedianSec</x:v>
      </x:c>
      <x:c r="G4" s="66" t="str">
        <x:v>DecisionTimeP75Sec</x:v>
      </x:c>
    </x:row>
    <x:row r="5" ht="15" hidden="0" customHeight="1">
      <x:c r="A5" s="68" t="str">
        <x:v>A</x:v>
      </x:c>
      <x:c r="B5" s="74" t="n">
        <x:f>COUNTIFS('Imported Labels'!$F$2:$F$501,$A5,'Imported Labels'!$S$2:$S$501,"ScorableComplete")</x:f>
        <x:v>0</x:v>
      </x:c>
      <x:c r="C5" s="76" t="str">
        <x:f>IFERROR(MEDIAN(_xlfn._xlws.FILTER('Imported Labels'!$H$2:$H$501,('Imported Labels'!$F$2:$F$501=$A5)*('Imported Labels'!$S$2:$S$501="ScorableComplete"))),"")</x:f>
      </x:c>
      <x:c r="D5" s="76" t="str">
        <x:f>IFERROR(MEDIAN(_xlfn._xlws.FILTER('Imported Labels'!$J$2:$J$501,('Imported Labels'!$F$2:$F$501=$A5)*('Imported Labels'!$S$2:$S$501="ScorableComplete"))),"")</x:f>
      </x:c>
      <x:c r="E5" s="76" t="str">
        <x:f>IFERROR(MEDIAN(_xlfn._xlws.FILTER('Imported Labels'!$L$2:$L$501,('Imported Labels'!$F$2:$F$501=$A5)*('Imported Labels'!$S$2:$S$501="ScorableComplete"))),"")</x:f>
      </x:c>
      <x:c r="F5" s="76" t="str">
        <x:f>IFERROR(MEDIAN(_xlfn._xlws.FILTER('Imported Labels'!$N$2:$N$501,('Imported Labels'!$F$2:$F$501=$A5)*('Imported Labels'!$S$2:$S$501="ScorableComplete"))),"")</x:f>
      </x:c>
      <x:c r="G5" s="77" t="str">
        <x:f>IFERROR(PERCENTILE.INC(_xlfn._xlws.FILTER('Imported Labels'!$N$2:$N$501,('Imported Labels'!$F$2:$F$501=$A5)*('Imported Labels'!$S$2:$S$501="ScorableComplete")),0.75),"")</x:f>
      </x:c>
    </x:row>
    <x:row r="6" ht="15" hidden="0" customHeight="1">
      <x:c r="A6" s="71" t="str">
        <x:v>B</x:v>
      </x:c>
      <x:c r="B6" s="75" t="n">
        <x:f>COUNTIFS('Imported Labels'!$F$2:$F$501,$A6,'Imported Labels'!$S$2:$S$501,"ScorableComplete")</x:f>
        <x:v>0</x:v>
      </x:c>
      <x:c r="C6" s="78" t="str">
        <x:f>IFERROR(MEDIAN(_xlfn._xlws.FILTER('Imported Labels'!$H$2:$H$501,('Imported Labels'!$F$2:$F$501=$A6)*('Imported Labels'!$S$2:$S$501="ScorableComplete"))),"")</x:f>
      </x:c>
      <x:c r="D6" s="78" t="str">
        <x:f>IFERROR(MEDIAN(_xlfn._xlws.FILTER('Imported Labels'!$J$2:$J$501,('Imported Labels'!$F$2:$F$501=$A6)*('Imported Labels'!$S$2:$S$501="ScorableComplete"))),"")</x:f>
      </x:c>
      <x:c r="E6" s="78" t="str">
        <x:f>IFERROR(MEDIAN(_xlfn._xlws.FILTER('Imported Labels'!$L$2:$L$501,('Imported Labels'!$F$2:$F$501=$A6)*('Imported Labels'!$S$2:$S$501="ScorableComplete"))),"")</x:f>
      </x:c>
      <x:c r="F6" s="78" t="str">
        <x:f>IFERROR(MEDIAN(_xlfn._xlws.FILTER('Imported Labels'!$N$2:$N$501,('Imported Labels'!$F$2:$F$501=$A6)*('Imported Labels'!$S$2:$S$501="ScorableComplete"))),"")</x:f>
      </x:c>
      <x:c r="G6" s="79" t="str">
        <x:f>IFERROR(PERCENTILE.INC(_xlfn._xlws.FILTER('Imported Labels'!$N$2:$N$501,('Imported Labels'!$F$2:$F$501=$A6)*('Imported Labels'!$S$2:$S$501="ScorableComplete")),0.75),"")</x:f>
      </x:c>
    </x:row>
    <x:row r="7"/>
    <x:row r="8"/>
    <x:row r="9" ht="15" hidden="0" customHeight="1">
      <x:c r="A9" s="6" t="str">
        <x:v>Eligibility rule</x:v>
      </x:c>
      <x:c r="B9" s="6"/>
      <x:c r="C9" s="6"/>
      <x:c r="D9" s="6"/>
      <x:c r="E9" s="6"/>
      <x:c r="F9" s="6"/>
      <x:c r="G9" s="6"/>
    </x:row>
    <x:row r="10">
      <x:c r="A10" s="82" t="str">
        <x:v>Every aggregate requires SubmissionState = ScorableComplete. NotScorable, Partial, Pending, formula-bearing imports, and invalid scalar rows must be excluded before labels are frozen. Keep all four metrics separate and do not reveal the arm key here before freeze.</x:v>
      </x:c>
      <x:c r="B10" s="82"/>
      <x:c r="C10" s="82"/>
      <x:c r="D10" s="82"/>
      <x:c r="E10" s="82"/>
      <x:c r="F10" s="82"/>
      <x:c r="G10" s="82"/>
    </x:row>
    <x:row r="11">
      <x:c r="A11" s="82"/>
      <x:c r="B11" s="82"/>
      <x:c r="C11" s="82"/>
      <x:c r="D11" s="82"/>
      <x:c r="E11" s="82"/>
      <x:c r="F11" s="82"/>
      <x:c r="G11" s="82"/>
    </x:row>
    <x:row r="12">
      <x:c r="A12" s="82"/>
      <x:c r="B12" s="82"/>
      <x:c r="C12" s="82"/>
      <x:c r="D12" s="82"/>
      <x:c r="E12" s="82"/>
      <x:c r="F12" s="82"/>
      <x:c r="G12" s="82"/>
    </x:row>
    <x:row r="13">
      <x:c r="A13" s="82"/>
      <x:c r="B13" s="82"/>
      <x:c r="C13" s="82"/>
      <x:c r="D13" s="82"/>
      <x:c r="E13" s="82"/>
      <x:c r="F13" s="82"/>
      <x:c r="G13" s="82"/>
    </x:row>
  </x:sheetData>
  <x:mergeCells>
    <x:mergeCell ref="A1:G2"/>
    <x:mergeCell ref="A9:G9"/>
    <x:mergeCell ref="A10:G13"/>
  </x:mergeCells>
  <x:pageMargins left="0.7" right="0.7" top="0.75" bottom="0.75" header="0.3" footer="0.3"/>
</x:worksheet>
</file>